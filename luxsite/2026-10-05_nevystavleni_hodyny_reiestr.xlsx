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едення" sheetId="1" state="visible" r:id="rId1"/>
    <sheet xmlns:r="http://schemas.openxmlformats.org/officeDocument/2006/relationships" name="Ставки" sheetId="2" state="visible" r:id="rId2"/>
    <sheet xmlns:r="http://schemas.openxmlformats.org/officeDocument/2006/relationships" name="Табель_55" sheetId="3" state="visible" r:id="rId3"/>
    <sheet xmlns:r="http://schemas.openxmlformats.org/officeDocument/2006/relationships" name="Без_рядків" sheetId="4" state="visible" r:id="rId4"/>
    <sheet xmlns:r="http://schemas.openxmlformats.org/officeDocument/2006/relationships" name="Окремо (не в сумі)" sheetId="5" state="visible" r:id="rId5"/>
  </sheets>
  <definedNames>
    <definedName name="_xlnm._FilterDatabase" localSheetId="2" hidden="1">'Табель_55'!$A$1:$N$278</definedName>
    <definedName name="_xlnm._FilterDatabase" localSheetId="3" hidden="1">'Без_рядків'!$A$1:$L$67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;-#,##0.00;&quot;-&quot;"/>
    <numFmt numFmtId="166" formatCode="#,##0;-#,##0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i val="1"/>
    </font>
    <font>
      <name val="Arial"/>
      <b val="1"/>
    </font>
    <font>
      <name val="Arial"/>
      <b val="1"/>
      <sz val="14"/>
    </font>
    <font>
      <name val="Arial"/>
      <color rgb="00008000"/>
    </font>
    <font>
      <name val="Arial"/>
      <color rgb="00000000"/>
    </font>
    <font>
      <name val="Arial"/>
      <b val="1"/>
      <sz val="12"/>
    </font>
    <font>
      <name val="Arial"/>
      <color theme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4" fontId="7" fillId="0" borderId="1" pivotButton="0" quotePrefix="0" xfId="0"/>
    <xf numFmtId="4" fontId="8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0" fontId="5" fillId="3" borderId="1" pivotButton="0" quotePrefix="0" xfId="0"/>
    <xf numFmtId="4" fontId="5" fillId="3" borderId="1" pivotButton="0" quotePrefix="0" xfId="0"/>
    <xf numFmtId="3" fontId="5" fillId="3" borderId="1" pivotButton="0" quotePrefix="0" xfId="0"/>
    <xf numFmtId="0" fontId="9" fillId="0" borderId="0" pivotButton="0" quotePrefix="0" xfId="0"/>
    <xf numFmtId="165" fontId="2" fillId="0" borderId="1" pivotButton="0" quotePrefix="0" xfId="0"/>
    <xf numFmtId="166" fontId="2" fillId="0" borderId="1" pivotButton="0" quotePrefix="0" xfId="0"/>
    <xf numFmtId="0" fontId="5" fillId="3" borderId="0" pivotButton="0" quotePrefix="0" xfId="0"/>
    <xf numFmtId="4" fontId="5" fillId="3" borderId="0" pivotButton="0" quotePrefix="0" xfId="0"/>
    <xf numFmtId="3" fontId="5" fillId="3" borderId="0" pivotButton="0" quotePrefix="0" xfId="0"/>
    <xf numFmtId="0" fontId="5" fillId="0" borderId="0" pivotButton="0" quotePrefix="0" xfId="0"/>
    <xf numFmtId="164" fontId="3" fillId="0" borderId="0" pivotButton="0" quotePrefix="0" xfId="0"/>
    <xf numFmtId="3" fontId="2" fillId="0" borderId="0" pivotButton="0" quotePrefix="0" xfId="0"/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LuxSite: роботи, які ToDo виконала, але не виставила клієнту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Стан табеля: живий Odoo, проєкт 55, 05.10.2026. Суми в грн без ПДВ, орієнтовно.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32" customHeight="1">
      <c r="A4" s="4" t="inlineStr">
        <is>
          <t>Рік</t>
        </is>
      </c>
      <c r="B4" s="4" t="inlineStr">
        <is>
          <t>Табель: факт &gt; виставлено, год</t>
        </is>
      </c>
      <c r="C4" s="4" t="inlineStr">
        <is>
          <t>Без рядків у табелі, год</t>
        </is>
      </c>
      <c r="D4" s="4" t="inlineStr">
        <is>
          <t>Разом, год</t>
        </is>
      </c>
      <c r="E4" s="4" t="inlineStr">
        <is>
          <t>Табель, грн</t>
        </is>
      </c>
      <c r="F4" s="4" t="inlineStr">
        <is>
          <t>Без рядків, грн</t>
        </is>
      </c>
      <c r="G4" s="4" t="inlineStr">
        <is>
          <t>Разом, грн</t>
        </is>
      </c>
    </row>
    <row r="5">
      <c r="A5" s="5" t="inlineStr">
        <is>
          <t>2023</t>
        </is>
      </c>
      <c r="B5" s="6">
        <f>SUMIFS(Табель_55!$J$2:$J$278,Табель_55!$C$2:$C$278,A5)</f>
        <v/>
      </c>
      <c r="C5" s="6">
        <f>SUMIFS(Без_рядків!$H$2:$H$67,Без_рядків!$C$2:$C$67,A5)</f>
        <v/>
      </c>
      <c r="D5" s="7">
        <f>B5+C5</f>
        <v/>
      </c>
      <c r="E5" s="8">
        <f>SUMIFS(Табель_55!$M$2:$M$278,Табель_55!$C$2:$C$278,A5)</f>
        <v/>
      </c>
      <c r="F5" s="8">
        <f>SUMIFS(Без_рядків!$K$2:$K$67,Без_рядків!$C$2:$C$67,A5)</f>
        <v/>
      </c>
      <c r="G5" s="9">
        <f>E5+F5</f>
        <v/>
      </c>
    </row>
    <row r="6">
      <c r="A6" s="5" t="inlineStr">
        <is>
          <t>2024</t>
        </is>
      </c>
      <c r="B6" s="6">
        <f>SUMIFS(Табель_55!$J$2:$J$278,Табель_55!$C$2:$C$278,A6)</f>
        <v/>
      </c>
      <c r="C6" s="6">
        <f>SUMIFS(Без_рядків!$H$2:$H$67,Без_рядків!$C$2:$C$67,A6)</f>
        <v/>
      </c>
      <c r="D6" s="7">
        <f>B6+C6</f>
        <v/>
      </c>
      <c r="E6" s="8">
        <f>SUMIFS(Табель_55!$M$2:$M$278,Табель_55!$C$2:$C$278,A6)</f>
        <v/>
      </c>
      <c r="F6" s="8">
        <f>SUMIFS(Без_рядків!$K$2:$K$67,Без_рядків!$C$2:$C$67,A6)</f>
        <v/>
      </c>
      <c r="G6" s="9">
        <f>E6+F6</f>
        <v/>
      </c>
    </row>
    <row r="7">
      <c r="A7" s="5" t="inlineStr">
        <is>
          <t>2025</t>
        </is>
      </c>
      <c r="B7" s="6">
        <f>SUMIFS(Табель_55!$J$2:$J$278,Табель_55!$C$2:$C$278,A7)</f>
        <v/>
      </c>
      <c r="C7" s="6">
        <f>SUMIFS(Без_рядків!$H$2:$H$67,Без_рядків!$C$2:$C$67,A7)</f>
        <v/>
      </c>
      <c r="D7" s="7">
        <f>B7+C7</f>
        <v/>
      </c>
      <c r="E7" s="8">
        <f>SUMIFS(Табель_55!$M$2:$M$278,Табель_55!$C$2:$C$278,A7)</f>
        <v/>
      </c>
      <c r="F7" s="8">
        <f>SUMIFS(Без_рядків!$K$2:$K$67,Без_рядків!$C$2:$C$67,A7)</f>
        <v/>
      </c>
      <c r="G7" s="9">
        <f>E7+F7</f>
        <v/>
      </c>
    </row>
    <row r="8">
      <c r="A8" s="5" t="inlineStr">
        <is>
          <t>2026</t>
        </is>
      </c>
      <c r="B8" s="6">
        <f>SUMIFS(Табель_55!$J$2:$J$278,Табель_55!$C$2:$C$278,A8)</f>
        <v/>
      </c>
      <c r="C8" s="6">
        <f>SUMIFS(Без_рядків!$H$2:$H$67,Без_рядків!$C$2:$C$67,A8)</f>
        <v/>
      </c>
      <c r="D8" s="7">
        <f>B8+C8</f>
        <v/>
      </c>
      <c r="E8" s="8">
        <f>SUMIFS(Табель_55!$M$2:$M$278,Табель_55!$C$2:$C$278,A8)</f>
        <v/>
      </c>
      <c r="F8" s="8">
        <f>SUMIFS(Без_рядків!$K$2:$K$67,Без_рядків!$C$2:$C$67,A8)</f>
        <v/>
      </c>
      <c r="G8" s="9">
        <f>E8+F8</f>
        <v/>
      </c>
    </row>
    <row r="9">
      <c r="A9" s="10" t="inlineStr">
        <is>
          <t>РАЗОМ</t>
        </is>
      </c>
      <c r="B9" s="11">
        <f>SUM(B5:B8)</f>
        <v/>
      </c>
      <c r="C9" s="11">
        <f>SUM(C5:C8)</f>
        <v/>
      </c>
      <c r="D9" s="11">
        <f>SUM(D5:D8)</f>
        <v/>
      </c>
      <c r="E9" s="12">
        <f>SUM(E5:E8)</f>
        <v/>
      </c>
      <c r="F9" s="12">
        <f>SUM(F5:F8)</f>
        <v/>
      </c>
      <c r="G9" s="12">
        <f>SUM(G5:G8)</f>
        <v/>
      </c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13" t="inlineStr">
        <is>
          <t>По місяцях</t>
        </is>
      </c>
      <c r="B11" s="2" t="n"/>
      <c r="C11" s="2" t="n"/>
      <c r="D11" s="2" t="n"/>
      <c r="E11" s="2" t="n"/>
      <c r="F11" s="2" t="n"/>
      <c r="G11" s="2" t="n"/>
    </row>
    <row r="12" ht="32" customHeight="1">
      <c r="A12" s="4" t="inlineStr">
        <is>
          <t>Місяць</t>
        </is>
      </c>
      <c r="B12" s="4" t="inlineStr">
        <is>
          <t>Табель, год</t>
        </is>
      </c>
      <c r="C12" s="4" t="inlineStr">
        <is>
          <t>Без рядків, год</t>
        </is>
      </c>
      <c r="D12" s="4" t="inlineStr">
        <is>
          <t>Разом, год</t>
        </is>
      </c>
      <c r="E12" s="4" t="inlineStr">
        <is>
          <t>Табель, грн</t>
        </is>
      </c>
      <c r="F12" s="4" t="inlineStr">
        <is>
          <t>Без рядків, грн</t>
        </is>
      </c>
      <c r="G12" s="4" t="inlineStr">
        <is>
          <t>Разом, грн</t>
        </is>
      </c>
    </row>
    <row r="13">
      <c r="A13" s="5" t="inlineStr">
        <is>
          <t>2023-04</t>
        </is>
      </c>
      <c r="B13" s="14">
        <f>SUMIFS(Табель_55!$J$2:$J$278,Табель_55!$D$2:$D$278,A13)</f>
        <v/>
      </c>
      <c r="C13" s="14">
        <f>SUMIFS(Без_рядків!$H$2:$H$67,Без_рядків!$D$2:$D$67,A13)</f>
        <v/>
      </c>
      <c r="D13" s="14">
        <f>B13+C13</f>
        <v/>
      </c>
      <c r="E13" s="15">
        <f>SUMIFS(Табель_55!$M$2:$M$278,Табель_55!$D$2:$D$278,A13)</f>
        <v/>
      </c>
      <c r="F13" s="15">
        <f>SUMIFS(Без_рядків!$K$2:$K$67,Без_рядків!$D$2:$D$67,A13)</f>
        <v/>
      </c>
      <c r="G13" s="15">
        <f>E13+F13</f>
        <v/>
      </c>
    </row>
    <row r="14">
      <c r="A14" s="5" t="inlineStr">
        <is>
          <t>2023-05</t>
        </is>
      </c>
      <c r="B14" s="14">
        <f>SUMIFS(Табель_55!$J$2:$J$278,Табель_55!$D$2:$D$278,A14)</f>
        <v/>
      </c>
      <c r="C14" s="14">
        <f>SUMIFS(Без_рядків!$H$2:$H$67,Без_рядків!$D$2:$D$67,A14)</f>
        <v/>
      </c>
      <c r="D14" s="14">
        <f>B14+C14</f>
        <v/>
      </c>
      <c r="E14" s="15">
        <f>SUMIFS(Табель_55!$M$2:$M$278,Табель_55!$D$2:$D$278,A14)</f>
        <v/>
      </c>
      <c r="F14" s="15">
        <f>SUMIFS(Без_рядків!$K$2:$K$67,Без_рядків!$D$2:$D$67,A14)</f>
        <v/>
      </c>
      <c r="G14" s="15">
        <f>E14+F14</f>
        <v/>
      </c>
    </row>
    <row r="15">
      <c r="A15" s="5" t="inlineStr">
        <is>
          <t>2023-06</t>
        </is>
      </c>
      <c r="B15" s="14">
        <f>SUMIFS(Табель_55!$J$2:$J$278,Табель_55!$D$2:$D$278,A15)</f>
        <v/>
      </c>
      <c r="C15" s="14">
        <f>SUMIFS(Без_рядків!$H$2:$H$67,Без_рядків!$D$2:$D$67,A15)</f>
        <v/>
      </c>
      <c r="D15" s="14">
        <f>B15+C15</f>
        <v/>
      </c>
      <c r="E15" s="15">
        <f>SUMIFS(Табель_55!$M$2:$M$278,Табель_55!$D$2:$D$278,A15)</f>
        <v/>
      </c>
      <c r="F15" s="15">
        <f>SUMIFS(Без_рядків!$K$2:$K$67,Без_рядків!$D$2:$D$67,A15)</f>
        <v/>
      </c>
      <c r="G15" s="15">
        <f>E15+F15</f>
        <v/>
      </c>
    </row>
    <row r="16">
      <c r="A16" s="5" t="inlineStr">
        <is>
          <t>2023-07</t>
        </is>
      </c>
      <c r="B16" s="14">
        <f>SUMIFS(Табель_55!$J$2:$J$278,Табель_55!$D$2:$D$278,A16)</f>
        <v/>
      </c>
      <c r="C16" s="14">
        <f>SUMIFS(Без_рядків!$H$2:$H$67,Без_рядків!$D$2:$D$67,A16)</f>
        <v/>
      </c>
      <c r="D16" s="14">
        <f>B16+C16</f>
        <v/>
      </c>
      <c r="E16" s="15">
        <f>SUMIFS(Табель_55!$M$2:$M$278,Табель_55!$D$2:$D$278,A16)</f>
        <v/>
      </c>
      <c r="F16" s="15">
        <f>SUMIFS(Без_рядків!$K$2:$K$67,Без_рядків!$D$2:$D$67,A16)</f>
        <v/>
      </c>
      <c r="G16" s="15">
        <f>E16+F16</f>
        <v/>
      </c>
    </row>
    <row r="17">
      <c r="A17" s="5" t="inlineStr">
        <is>
          <t>2023-08</t>
        </is>
      </c>
      <c r="B17" s="14">
        <f>SUMIFS(Табель_55!$J$2:$J$278,Табель_55!$D$2:$D$278,A17)</f>
        <v/>
      </c>
      <c r="C17" s="14">
        <f>SUMIFS(Без_рядків!$H$2:$H$67,Без_рядків!$D$2:$D$67,A17)</f>
        <v/>
      </c>
      <c r="D17" s="14">
        <f>B17+C17</f>
        <v/>
      </c>
      <c r="E17" s="15">
        <f>SUMIFS(Табель_55!$M$2:$M$278,Табель_55!$D$2:$D$278,A17)</f>
        <v/>
      </c>
      <c r="F17" s="15">
        <f>SUMIFS(Без_рядків!$K$2:$K$67,Без_рядків!$D$2:$D$67,A17)</f>
        <v/>
      </c>
      <c r="G17" s="15">
        <f>E17+F17</f>
        <v/>
      </c>
    </row>
    <row r="18">
      <c r="A18" s="5" t="inlineStr">
        <is>
          <t>2023-09</t>
        </is>
      </c>
      <c r="B18" s="14">
        <f>SUMIFS(Табель_55!$J$2:$J$278,Табель_55!$D$2:$D$278,A18)</f>
        <v/>
      </c>
      <c r="C18" s="14">
        <f>SUMIFS(Без_рядків!$H$2:$H$67,Без_рядків!$D$2:$D$67,A18)</f>
        <v/>
      </c>
      <c r="D18" s="14">
        <f>B18+C18</f>
        <v/>
      </c>
      <c r="E18" s="15">
        <f>SUMIFS(Табель_55!$M$2:$M$278,Табель_55!$D$2:$D$278,A18)</f>
        <v/>
      </c>
      <c r="F18" s="15">
        <f>SUMIFS(Без_рядків!$K$2:$K$67,Без_рядків!$D$2:$D$67,A18)</f>
        <v/>
      </c>
      <c r="G18" s="15">
        <f>E18+F18</f>
        <v/>
      </c>
    </row>
    <row r="19">
      <c r="A19" s="5" t="inlineStr">
        <is>
          <t>2023-10</t>
        </is>
      </c>
      <c r="B19" s="14">
        <f>SUMIFS(Табель_55!$J$2:$J$278,Табель_55!$D$2:$D$278,A19)</f>
        <v/>
      </c>
      <c r="C19" s="14">
        <f>SUMIFS(Без_рядків!$H$2:$H$67,Без_рядків!$D$2:$D$67,A19)</f>
        <v/>
      </c>
      <c r="D19" s="14">
        <f>B19+C19</f>
        <v/>
      </c>
      <c r="E19" s="15">
        <f>SUMIFS(Табель_55!$M$2:$M$278,Табель_55!$D$2:$D$278,A19)</f>
        <v/>
      </c>
      <c r="F19" s="15">
        <f>SUMIFS(Без_рядків!$K$2:$K$67,Без_рядків!$D$2:$D$67,A19)</f>
        <v/>
      </c>
      <c r="G19" s="15">
        <f>E19+F19</f>
        <v/>
      </c>
    </row>
    <row r="20">
      <c r="A20" s="5" t="inlineStr">
        <is>
          <t>2023-11</t>
        </is>
      </c>
      <c r="B20" s="14">
        <f>SUMIFS(Табель_55!$J$2:$J$278,Табель_55!$D$2:$D$278,A20)</f>
        <v/>
      </c>
      <c r="C20" s="14">
        <f>SUMIFS(Без_рядків!$H$2:$H$67,Без_рядків!$D$2:$D$67,A20)</f>
        <v/>
      </c>
      <c r="D20" s="14">
        <f>B20+C20</f>
        <v/>
      </c>
      <c r="E20" s="15">
        <f>SUMIFS(Табель_55!$M$2:$M$278,Табель_55!$D$2:$D$278,A20)</f>
        <v/>
      </c>
      <c r="F20" s="15">
        <f>SUMIFS(Без_рядків!$K$2:$K$67,Без_рядків!$D$2:$D$67,A20)</f>
        <v/>
      </c>
      <c r="G20" s="15">
        <f>E20+F20</f>
        <v/>
      </c>
    </row>
    <row r="21">
      <c r="A21" s="5" t="inlineStr">
        <is>
          <t>2023-12</t>
        </is>
      </c>
      <c r="B21" s="14">
        <f>SUMIFS(Табель_55!$J$2:$J$278,Табель_55!$D$2:$D$278,A21)</f>
        <v/>
      </c>
      <c r="C21" s="14">
        <f>SUMIFS(Без_рядків!$H$2:$H$67,Без_рядків!$D$2:$D$67,A21)</f>
        <v/>
      </c>
      <c r="D21" s="14">
        <f>B21+C21</f>
        <v/>
      </c>
      <c r="E21" s="15">
        <f>SUMIFS(Табель_55!$M$2:$M$278,Табель_55!$D$2:$D$278,A21)</f>
        <v/>
      </c>
      <c r="F21" s="15">
        <f>SUMIFS(Без_рядків!$K$2:$K$67,Без_рядків!$D$2:$D$67,A21)</f>
        <v/>
      </c>
      <c r="G21" s="15">
        <f>E21+F21</f>
        <v/>
      </c>
    </row>
    <row r="22">
      <c r="A22" s="5" t="inlineStr">
        <is>
          <t>2024-01</t>
        </is>
      </c>
      <c r="B22" s="14">
        <f>SUMIFS(Табель_55!$J$2:$J$278,Табель_55!$D$2:$D$278,A22)</f>
        <v/>
      </c>
      <c r="C22" s="14">
        <f>SUMIFS(Без_рядків!$H$2:$H$67,Без_рядків!$D$2:$D$67,A22)</f>
        <v/>
      </c>
      <c r="D22" s="14">
        <f>B22+C22</f>
        <v/>
      </c>
      <c r="E22" s="15">
        <f>SUMIFS(Табель_55!$M$2:$M$278,Табель_55!$D$2:$D$278,A22)</f>
        <v/>
      </c>
      <c r="F22" s="15">
        <f>SUMIFS(Без_рядків!$K$2:$K$67,Без_рядків!$D$2:$D$67,A22)</f>
        <v/>
      </c>
      <c r="G22" s="15">
        <f>E22+F22</f>
        <v/>
      </c>
    </row>
    <row r="23">
      <c r="A23" s="5" t="inlineStr">
        <is>
          <t>2024-02</t>
        </is>
      </c>
      <c r="B23" s="14">
        <f>SUMIFS(Табель_55!$J$2:$J$278,Табель_55!$D$2:$D$278,A23)</f>
        <v/>
      </c>
      <c r="C23" s="14">
        <f>SUMIFS(Без_рядків!$H$2:$H$67,Без_рядків!$D$2:$D$67,A23)</f>
        <v/>
      </c>
      <c r="D23" s="14">
        <f>B23+C23</f>
        <v/>
      </c>
      <c r="E23" s="15">
        <f>SUMIFS(Табель_55!$M$2:$M$278,Табель_55!$D$2:$D$278,A23)</f>
        <v/>
      </c>
      <c r="F23" s="15">
        <f>SUMIFS(Без_рядків!$K$2:$K$67,Без_рядків!$D$2:$D$67,A23)</f>
        <v/>
      </c>
      <c r="G23" s="15">
        <f>E23+F23</f>
        <v/>
      </c>
    </row>
    <row r="24">
      <c r="A24" s="5" t="inlineStr">
        <is>
          <t>2024-03</t>
        </is>
      </c>
      <c r="B24" s="14">
        <f>SUMIFS(Табель_55!$J$2:$J$278,Табель_55!$D$2:$D$278,A24)</f>
        <v/>
      </c>
      <c r="C24" s="14">
        <f>SUMIFS(Без_рядків!$H$2:$H$67,Без_рядків!$D$2:$D$67,A24)</f>
        <v/>
      </c>
      <c r="D24" s="14">
        <f>B24+C24</f>
        <v/>
      </c>
      <c r="E24" s="15">
        <f>SUMIFS(Табель_55!$M$2:$M$278,Табель_55!$D$2:$D$278,A24)</f>
        <v/>
      </c>
      <c r="F24" s="15">
        <f>SUMIFS(Без_рядків!$K$2:$K$67,Без_рядків!$D$2:$D$67,A24)</f>
        <v/>
      </c>
      <c r="G24" s="15">
        <f>E24+F24</f>
        <v/>
      </c>
    </row>
    <row r="25">
      <c r="A25" s="5" t="inlineStr">
        <is>
          <t>2024-04</t>
        </is>
      </c>
      <c r="B25" s="14">
        <f>SUMIFS(Табель_55!$J$2:$J$278,Табель_55!$D$2:$D$278,A25)</f>
        <v/>
      </c>
      <c r="C25" s="14">
        <f>SUMIFS(Без_рядків!$H$2:$H$67,Без_рядків!$D$2:$D$67,A25)</f>
        <v/>
      </c>
      <c r="D25" s="14">
        <f>B25+C25</f>
        <v/>
      </c>
      <c r="E25" s="15">
        <f>SUMIFS(Табель_55!$M$2:$M$278,Табель_55!$D$2:$D$278,A25)</f>
        <v/>
      </c>
      <c r="F25" s="15">
        <f>SUMIFS(Без_рядків!$K$2:$K$67,Без_рядків!$D$2:$D$67,A25)</f>
        <v/>
      </c>
      <c r="G25" s="15">
        <f>E25+F25</f>
        <v/>
      </c>
    </row>
    <row r="26">
      <c r="A26" s="5" t="inlineStr">
        <is>
          <t>2024-05</t>
        </is>
      </c>
      <c r="B26" s="14">
        <f>SUMIFS(Табель_55!$J$2:$J$278,Табель_55!$D$2:$D$278,A26)</f>
        <v/>
      </c>
      <c r="C26" s="14">
        <f>SUMIFS(Без_рядків!$H$2:$H$67,Без_рядків!$D$2:$D$67,A26)</f>
        <v/>
      </c>
      <c r="D26" s="14">
        <f>B26+C26</f>
        <v/>
      </c>
      <c r="E26" s="15">
        <f>SUMIFS(Табель_55!$M$2:$M$278,Табель_55!$D$2:$D$278,A26)</f>
        <v/>
      </c>
      <c r="F26" s="15">
        <f>SUMIFS(Без_рядків!$K$2:$K$67,Без_рядків!$D$2:$D$67,A26)</f>
        <v/>
      </c>
      <c r="G26" s="15">
        <f>E26+F26</f>
        <v/>
      </c>
    </row>
    <row r="27">
      <c r="A27" s="5" t="inlineStr">
        <is>
          <t>2024-06</t>
        </is>
      </c>
      <c r="B27" s="14">
        <f>SUMIFS(Табель_55!$J$2:$J$278,Табель_55!$D$2:$D$278,A27)</f>
        <v/>
      </c>
      <c r="C27" s="14">
        <f>SUMIFS(Без_рядків!$H$2:$H$67,Без_рядків!$D$2:$D$67,A27)</f>
        <v/>
      </c>
      <c r="D27" s="14">
        <f>B27+C27</f>
        <v/>
      </c>
      <c r="E27" s="15">
        <f>SUMIFS(Табель_55!$M$2:$M$278,Табель_55!$D$2:$D$278,A27)</f>
        <v/>
      </c>
      <c r="F27" s="15">
        <f>SUMIFS(Без_рядків!$K$2:$K$67,Без_рядків!$D$2:$D$67,A27)</f>
        <v/>
      </c>
      <c r="G27" s="15">
        <f>E27+F27</f>
        <v/>
      </c>
    </row>
    <row r="28">
      <c r="A28" s="5" t="inlineStr">
        <is>
          <t>2024-07</t>
        </is>
      </c>
      <c r="B28" s="14">
        <f>SUMIFS(Табель_55!$J$2:$J$278,Табель_55!$D$2:$D$278,A28)</f>
        <v/>
      </c>
      <c r="C28" s="14">
        <f>SUMIFS(Без_рядків!$H$2:$H$67,Без_рядків!$D$2:$D$67,A28)</f>
        <v/>
      </c>
      <c r="D28" s="14">
        <f>B28+C28</f>
        <v/>
      </c>
      <c r="E28" s="15">
        <f>SUMIFS(Табель_55!$M$2:$M$278,Табель_55!$D$2:$D$278,A28)</f>
        <v/>
      </c>
      <c r="F28" s="15">
        <f>SUMIFS(Без_рядків!$K$2:$K$67,Без_рядків!$D$2:$D$67,A28)</f>
        <v/>
      </c>
      <c r="G28" s="15">
        <f>E28+F28</f>
        <v/>
      </c>
    </row>
    <row r="29">
      <c r="A29" s="5" t="inlineStr">
        <is>
          <t>2024-08</t>
        </is>
      </c>
      <c r="B29" s="14">
        <f>SUMIFS(Табель_55!$J$2:$J$278,Табель_55!$D$2:$D$278,A29)</f>
        <v/>
      </c>
      <c r="C29" s="14">
        <f>SUMIFS(Без_рядків!$H$2:$H$67,Без_рядків!$D$2:$D$67,A29)</f>
        <v/>
      </c>
      <c r="D29" s="14">
        <f>B29+C29</f>
        <v/>
      </c>
      <c r="E29" s="15">
        <f>SUMIFS(Табель_55!$M$2:$M$278,Табель_55!$D$2:$D$278,A29)</f>
        <v/>
      </c>
      <c r="F29" s="15">
        <f>SUMIFS(Без_рядків!$K$2:$K$67,Без_рядків!$D$2:$D$67,A29)</f>
        <v/>
      </c>
      <c r="G29" s="15">
        <f>E29+F29</f>
        <v/>
      </c>
    </row>
    <row r="30">
      <c r="A30" s="5" t="inlineStr">
        <is>
          <t>2024-09</t>
        </is>
      </c>
      <c r="B30" s="14">
        <f>SUMIFS(Табель_55!$J$2:$J$278,Табель_55!$D$2:$D$278,A30)</f>
        <v/>
      </c>
      <c r="C30" s="14">
        <f>SUMIFS(Без_рядків!$H$2:$H$67,Без_рядків!$D$2:$D$67,A30)</f>
        <v/>
      </c>
      <c r="D30" s="14">
        <f>B30+C30</f>
        <v/>
      </c>
      <c r="E30" s="15">
        <f>SUMIFS(Табель_55!$M$2:$M$278,Табель_55!$D$2:$D$278,A30)</f>
        <v/>
      </c>
      <c r="F30" s="15">
        <f>SUMIFS(Без_рядків!$K$2:$K$67,Без_рядків!$D$2:$D$67,A30)</f>
        <v/>
      </c>
      <c r="G30" s="15">
        <f>E30+F30</f>
        <v/>
      </c>
    </row>
    <row r="31">
      <c r="A31" s="5" t="inlineStr">
        <is>
          <t>2024-10</t>
        </is>
      </c>
      <c r="B31" s="14">
        <f>SUMIFS(Табель_55!$J$2:$J$278,Табель_55!$D$2:$D$278,A31)</f>
        <v/>
      </c>
      <c r="C31" s="14">
        <f>SUMIFS(Без_рядків!$H$2:$H$67,Без_рядків!$D$2:$D$67,A31)</f>
        <v/>
      </c>
      <c r="D31" s="14">
        <f>B31+C31</f>
        <v/>
      </c>
      <c r="E31" s="15">
        <f>SUMIFS(Табель_55!$M$2:$M$278,Табель_55!$D$2:$D$278,A31)</f>
        <v/>
      </c>
      <c r="F31" s="15">
        <f>SUMIFS(Без_рядків!$K$2:$K$67,Без_рядків!$D$2:$D$67,A31)</f>
        <v/>
      </c>
      <c r="G31" s="15">
        <f>E31+F31</f>
        <v/>
      </c>
    </row>
    <row r="32">
      <c r="A32" s="5" t="inlineStr">
        <is>
          <t>2024-11</t>
        </is>
      </c>
      <c r="B32" s="14">
        <f>SUMIFS(Табель_55!$J$2:$J$278,Табель_55!$D$2:$D$278,A32)</f>
        <v/>
      </c>
      <c r="C32" s="14">
        <f>SUMIFS(Без_рядків!$H$2:$H$67,Без_рядків!$D$2:$D$67,A32)</f>
        <v/>
      </c>
      <c r="D32" s="14">
        <f>B32+C32</f>
        <v/>
      </c>
      <c r="E32" s="15">
        <f>SUMIFS(Табель_55!$M$2:$M$278,Табель_55!$D$2:$D$278,A32)</f>
        <v/>
      </c>
      <c r="F32" s="15">
        <f>SUMIFS(Без_рядків!$K$2:$K$67,Без_рядків!$D$2:$D$67,A32)</f>
        <v/>
      </c>
      <c r="G32" s="15">
        <f>E32+F32</f>
        <v/>
      </c>
    </row>
    <row r="33">
      <c r="A33" s="5" t="inlineStr">
        <is>
          <t>2024-12</t>
        </is>
      </c>
      <c r="B33" s="14">
        <f>SUMIFS(Табель_55!$J$2:$J$278,Табель_55!$D$2:$D$278,A33)</f>
        <v/>
      </c>
      <c r="C33" s="14">
        <f>SUMIFS(Без_рядків!$H$2:$H$67,Без_рядків!$D$2:$D$67,A33)</f>
        <v/>
      </c>
      <c r="D33" s="14">
        <f>B33+C33</f>
        <v/>
      </c>
      <c r="E33" s="15">
        <f>SUMIFS(Табель_55!$M$2:$M$278,Табель_55!$D$2:$D$278,A33)</f>
        <v/>
      </c>
      <c r="F33" s="15">
        <f>SUMIFS(Без_рядків!$K$2:$K$67,Без_рядків!$D$2:$D$67,A33)</f>
        <v/>
      </c>
      <c r="G33" s="15">
        <f>E33+F33</f>
        <v/>
      </c>
    </row>
    <row r="34">
      <c r="A34" s="5" t="inlineStr">
        <is>
          <t>2025-01</t>
        </is>
      </c>
      <c r="B34" s="14">
        <f>SUMIFS(Табель_55!$J$2:$J$278,Табель_55!$D$2:$D$278,A34)</f>
        <v/>
      </c>
      <c r="C34" s="14">
        <f>SUMIFS(Без_рядків!$H$2:$H$67,Без_рядків!$D$2:$D$67,A34)</f>
        <v/>
      </c>
      <c r="D34" s="14">
        <f>B34+C34</f>
        <v/>
      </c>
      <c r="E34" s="15">
        <f>SUMIFS(Табель_55!$M$2:$M$278,Табель_55!$D$2:$D$278,A34)</f>
        <v/>
      </c>
      <c r="F34" s="15">
        <f>SUMIFS(Без_рядків!$K$2:$K$67,Без_рядків!$D$2:$D$67,A34)</f>
        <v/>
      </c>
      <c r="G34" s="15">
        <f>E34+F34</f>
        <v/>
      </c>
    </row>
    <row r="35">
      <c r="A35" s="5" t="inlineStr">
        <is>
          <t>2025-02</t>
        </is>
      </c>
      <c r="B35" s="14">
        <f>SUMIFS(Табель_55!$J$2:$J$278,Табель_55!$D$2:$D$278,A35)</f>
        <v/>
      </c>
      <c r="C35" s="14">
        <f>SUMIFS(Без_рядків!$H$2:$H$67,Без_рядків!$D$2:$D$67,A35)</f>
        <v/>
      </c>
      <c r="D35" s="14">
        <f>B35+C35</f>
        <v/>
      </c>
      <c r="E35" s="15">
        <f>SUMIFS(Табель_55!$M$2:$M$278,Табель_55!$D$2:$D$278,A35)</f>
        <v/>
      </c>
      <c r="F35" s="15">
        <f>SUMIFS(Без_рядків!$K$2:$K$67,Без_рядків!$D$2:$D$67,A35)</f>
        <v/>
      </c>
      <c r="G35" s="15">
        <f>E35+F35</f>
        <v/>
      </c>
    </row>
    <row r="36">
      <c r="A36" s="5" t="inlineStr">
        <is>
          <t>2025-03</t>
        </is>
      </c>
      <c r="B36" s="14">
        <f>SUMIFS(Табель_55!$J$2:$J$278,Табель_55!$D$2:$D$278,A36)</f>
        <v/>
      </c>
      <c r="C36" s="14">
        <f>SUMIFS(Без_рядків!$H$2:$H$67,Без_рядків!$D$2:$D$67,A36)</f>
        <v/>
      </c>
      <c r="D36" s="14">
        <f>B36+C36</f>
        <v/>
      </c>
      <c r="E36" s="15">
        <f>SUMIFS(Табель_55!$M$2:$M$278,Табель_55!$D$2:$D$278,A36)</f>
        <v/>
      </c>
      <c r="F36" s="15">
        <f>SUMIFS(Без_рядків!$K$2:$K$67,Без_рядків!$D$2:$D$67,A36)</f>
        <v/>
      </c>
      <c r="G36" s="15">
        <f>E36+F36</f>
        <v/>
      </c>
    </row>
    <row r="37">
      <c r="A37" s="5" t="inlineStr">
        <is>
          <t>2025-04</t>
        </is>
      </c>
      <c r="B37" s="14">
        <f>SUMIFS(Табель_55!$J$2:$J$278,Табель_55!$D$2:$D$278,A37)</f>
        <v/>
      </c>
      <c r="C37" s="14">
        <f>SUMIFS(Без_рядків!$H$2:$H$67,Без_рядків!$D$2:$D$67,A37)</f>
        <v/>
      </c>
      <c r="D37" s="14">
        <f>B37+C37</f>
        <v/>
      </c>
      <c r="E37" s="15">
        <f>SUMIFS(Табель_55!$M$2:$M$278,Табель_55!$D$2:$D$278,A37)</f>
        <v/>
      </c>
      <c r="F37" s="15">
        <f>SUMIFS(Без_рядків!$K$2:$K$67,Без_рядків!$D$2:$D$67,A37)</f>
        <v/>
      </c>
      <c r="G37" s="15">
        <f>E37+F37</f>
        <v/>
      </c>
    </row>
    <row r="38">
      <c r="A38" s="5" t="inlineStr">
        <is>
          <t>2025-05</t>
        </is>
      </c>
      <c r="B38" s="14">
        <f>SUMIFS(Табель_55!$J$2:$J$278,Табель_55!$D$2:$D$278,A38)</f>
        <v/>
      </c>
      <c r="C38" s="14">
        <f>SUMIFS(Без_рядків!$H$2:$H$67,Без_рядків!$D$2:$D$67,A38)</f>
        <v/>
      </c>
      <c r="D38" s="14">
        <f>B38+C38</f>
        <v/>
      </c>
      <c r="E38" s="15">
        <f>SUMIFS(Табель_55!$M$2:$M$278,Табель_55!$D$2:$D$278,A38)</f>
        <v/>
      </c>
      <c r="F38" s="15">
        <f>SUMIFS(Без_рядків!$K$2:$K$67,Без_рядків!$D$2:$D$67,A38)</f>
        <v/>
      </c>
      <c r="G38" s="15">
        <f>E38+F38</f>
        <v/>
      </c>
    </row>
    <row r="39">
      <c r="A39" s="5" t="inlineStr">
        <is>
          <t>2025-06</t>
        </is>
      </c>
      <c r="B39" s="14">
        <f>SUMIFS(Табель_55!$J$2:$J$278,Табель_55!$D$2:$D$278,A39)</f>
        <v/>
      </c>
      <c r="C39" s="14">
        <f>SUMIFS(Без_рядків!$H$2:$H$67,Без_рядків!$D$2:$D$67,A39)</f>
        <v/>
      </c>
      <c r="D39" s="14">
        <f>B39+C39</f>
        <v/>
      </c>
      <c r="E39" s="15">
        <f>SUMIFS(Табель_55!$M$2:$M$278,Табель_55!$D$2:$D$278,A39)</f>
        <v/>
      </c>
      <c r="F39" s="15">
        <f>SUMIFS(Без_рядків!$K$2:$K$67,Без_рядків!$D$2:$D$67,A39)</f>
        <v/>
      </c>
      <c r="G39" s="15">
        <f>E39+F39</f>
        <v/>
      </c>
    </row>
    <row r="40">
      <c r="A40" s="5" t="inlineStr">
        <is>
          <t>2025-07</t>
        </is>
      </c>
      <c r="B40" s="14">
        <f>SUMIFS(Табель_55!$J$2:$J$278,Табель_55!$D$2:$D$278,A40)</f>
        <v/>
      </c>
      <c r="C40" s="14">
        <f>SUMIFS(Без_рядків!$H$2:$H$67,Без_рядків!$D$2:$D$67,A40)</f>
        <v/>
      </c>
      <c r="D40" s="14">
        <f>B40+C40</f>
        <v/>
      </c>
      <c r="E40" s="15">
        <f>SUMIFS(Табель_55!$M$2:$M$278,Табель_55!$D$2:$D$278,A40)</f>
        <v/>
      </c>
      <c r="F40" s="15">
        <f>SUMIFS(Без_рядків!$K$2:$K$67,Без_рядків!$D$2:$D$67,A40)</f>
        <v/>
      </c>
      <c r="G40" s="15">
        <f>E40+F40</f>
        <v/>
      </c>
    </row>
    <row r="41">
      <c r="A41" s="5" t="inlineStr">
        <is>
          <t>2025-08</t>
        </is>
      </c>
      <c r="B41" s="14">
        <f>SUMIFS(Табель_55!$J$2:$J$278,Табель_55!$D$2:$D$278,A41)</f>
        <v/>
      </c>
      <c r="C41" s="14">
        <f>SUMIFS(Без_рядків!$H$2:$H$67,Без_рядків!$D$2:$D$67,A41)</f>
        <v/>
      </c>
      <c r="D41" s="14">
        <f>B41+C41</f>
        <v/>
      </c>
      <c r="E41" s="15">
        <f>SUMIFS(Табель_55!$M$2:$M$278,Табель_55!$D$2:$D$278,A41)</f>
        <v/>
      </c>
      <c r="F41" s="15">
        <f>SUMIFS(Без_рядків!$K$2:$K$67,Без_рядків!$D$2:$D$67,A41)</f>
        <v/>
      </c>
      <c r="G41" s="15">
        <f>E41+F41</f>
        <v/>
      </c>
    </row>
    <row r="42">
      <c r="A42" s="5" t="inlineStr">
        <is>
          <t>2025-09</t>
        </is>
      </c>
      <c r="B42" s="14">
        <f>SUMIFS(Табель_55!$J$2:$J$278,Табель_55!$D$2:$D$278,A42)</f>
        <v/>
      </c>
      <c r="C42" s="14">
        <f>SUMIFS(Без_рядків!$H$2:$H$67,Без_рядків!$D$2:$D$67,A42)</f>
        <v/>
      </c>
      <c r="D42" s="14">
        <f>B42+C42</f>
        <v/>
      </c>
      <c r="E42" s="15">
        <f>SUMIFS(Табель_55!$M$2:$M$278,Табель_55!$D$2:$D$278,A42)</f>
        <v/>
      </c>
      <c r="F42" s="15">
        <f>SUMIFS(Без_рядків!$K$2:$K$67,Без_рядків!$D$2:$D$67,A42)</f>
        <v/>
      </c>
      <c r="G42" s="15">
        <f>E42+F42</f>
        <v/>
      </c>
    </row>
    <row r="43">
      <c r="A43" s="5" t="inlineStr">
        <is>
          <t>2025-10</t>
        </is>
      </c>
      <c r="B43" s="14">
        <f>SUMIFS(Табель_55!$J$2:$J$278,Табель_55!$D$2:$D$278,A43)</f>
        <v/>
      </c>
      <c r="C43" s="14">
        <f>SUMIFS(Без_рядків!$H$2:$H$67,Без_рядків!$D$2:$D$67,A43)</f>
        <v/>
      </c>
      <c r="D43" s="14">
        <f>B43+C43</f>
        <v/>
      </c>
      <c r="E43" s="15">
        <f>SUMIFS(Табель_55!$M$2:$M$278,Табель_55!$D$2:$D$278,A43)</f>
        <v/>
      </c>
      <c r="F43" s="15">
        <f>SUMIFS(Без_рядків!$K$2:$K$67,Без_рядків!$D$2:$D$67,A43)</f>
        <v/>
      </c>
      <c r="G43" s="15">
        <f>E43+F43</f>
        <v/>
      </c>
    </row>
    <row r="44">
      <c r="A44" s="5" t="inlineStr">
        <is>
          <t>2025-11</t>
        </is>
      </c>
      <c r="B44" s="14">
        <f>SUMIFS(Табель_55!$J$2:$J$278,Табель_55!$D$2:$D$278,A44)</f>
        <v/>
      </c>
      <c r="C44" s="14">
        <f>SUMIFS(Без_рядків!$H$2:$H$67,Без_рядків!$D$2:$D$67,A44)</f>
        <v/>
      </c>
      <c r="D44" s="14">
        <f>B44+C44</f>
        <v/>
      </c>
      <c r="E44" s="15">
        <f>SUMIFS(Табель_55!$M$2:$M$278,Табель_55!$D$2:$D$278,A44)</f>
        <v/>
      </c>
      <c r="F44" s="15">
        <f>SUMIFS(Без_рядків!$K$2:$K$67,Без_рядків!$D$2:$D$67,A44)</f>
        <v/>
      </c>
      <c r="G44" s="15">
        <f>E44+F44</f>
        <v/>
      </c>
    </row>
    <row r="45">
      <c r="A45" s="5" t="inlineStr">
        <is>
          <t>2025-12</t>
        </is>
      </c>
      <c r="B45" s="14">
        <f>SUMIFS(Табель_55!$J$2:$J$278,Табель_55!$D$2:$D$278,A45)</f>
        <v/>
      </c>
      <c r="C45" s="14">
        <f>SUMIFS(Без_рядків!$H$2:$H$67,Без_рядків!$D$2:$D$67,A45)</f>
        <v/>
      </c>
      <c r="D45" s="14">
        <f>B45+C45</f>
        <v/>
      </c>
      <c r="E45" s="15">
        <f>SUMIFS(Табель_55!$M$2:$M$278,Табель_55!$D$2:$D$278,A45)</f>
        <v/>
      </c>
      <c r="F45" s="15">
        <f>SUMIFS(Без_рядків!$K$2:$K$67,Без_рядків!$D$2:$D$67,A45)</f>
        <v/>
      </c>
      <c r="G45" s="15">
        <f>E45+F45</f>
        <v/>
      </c>
    </row>
    <row r="46">
      <c r="A46" s="5" t="inlineStr">
        <is>
          <t>2026-01</t>
        </is>
      </c>
      <c r="B46" s="14">
        <f>SUMIFS(Табель_55!$J$2:$J$278,Табель_55!$D$2:$D$278,A46)</f>
        <v/>
      </c>
      <c r="C46" s="14">
        <f>SUMIFS(Без_рядків!$H$2:$H$67,Без_рядків!$D$2:$D$67,A46)</f>
        <v/>
      </c>
      <c r="D46" s="14">
        <f>B46+C46</f>
        <v/>
      </c>
      <c r="E46" s="15">
        <f>SUMIFS(Табель_55!$M$2:$M$278,Табель_55!$D$2:$D$278,A46)</f>
        <v/>
      </c>
      <c r="F46" s="15">
        <f>SUMIFS(Без_рядків!$K$2:$K$67,Без_рядків!$D$2:$D$67,A46)</f>
        <v/>
      </c>
      <c r="G46" s="15">
        <f>E46+F46</f>
        <v/>
      </c>
    </row>
    <row r="47">
      <c r="A47" s="5" t="inlineStr">
        <is>
          <t>2026-02</t>
        </is>
      </c>
      <c r="B47" s="14">
        <f>SUMIFS(Табель_55!$J$2:$J$278,Табель_55!$D$2:$D$278,A47)</f>
        <v/>
      </c>
      <c r="C47" s="14">
        <f>SUMIFS(Без_рядків!$H$2:$H$67,Без_рядків!$D$2:$D$67,A47)</f>
        <v/>
      </c>
      <c r="D47" s="14">
        <f>B47+C47</f>
        <v/>
      </c>
      <c r="E47" s="15">
        <f>SUMIFS(Табель_55!$M$2:$M$278,Табель_55!$D$2:$D$278,A47)</f>
        <v/>
      </c>
      <c r="F47" s="15">
        <f>SUMIFS(Без_рядків!$K$2:$K$67,Без_рядків!$D$2:$D$67,A47)</f>
        <v/>
      </c>
      <c r="G47" s="15">
        <f>E47+F47</f>
        <v/>
      </c>
    </row>
    <row r="48">
      <c r="A48" s="5" t="inlineStr">
        <is>
          <t>2026-03</t>
        </is>
      </c>
      <c r="B48" s="14">
        <f>SUMIFS(Табель_55!$J$2:$J$278,Табель_55!$D$2:$D$278,A48)</f>
        <v/>
      </c>
      <c r="C48" s="14">
        <f>SUMIFS(Без_рядків!$H$2:$H$67,Без_рядків!$D$2:$D$67,A48)</f>
        <v/>
      </c>
      <c r="D48" s="14">
        <f>B48+C48</f>
        <v/>
      </c>
      <c r="E48" s="15">
        <f>SUMIFS(Табель_55!$M$2:$M$278,Табель_55!$D$2:$D$278,A48)</f>
        <v/>
      </c>
      <c r="F48" s="15">
        <f>SUMIFS(Без_рядків!$K$2:$K$67,Без_рядків!$D$2:$D$67,A48)</f>
        <v/>
      </c>
      <c r="G48" s="15">
        <f>E48+F48</f>
        <v/>
      </c>
    </row>
    <row r="49">
      <c r="A49" s="5" t="inlineStr">
        <is>
          <t>2026-04</t>
        </is>
      </c>
      <c r="B49" s="14">
        <f>SUMIFS(Табель_55!$J$2:$J$278,Табель_55!$D$2:$D$278,A49)</f>
        <v/>
      </c>
      <c r="C49" s="14">
        <f>SUMIFS(Без_рядків!$H$2:$H$67,Без_рядків!$D$2:$D$67,A49)</f>
        <v/>
      </c>
      <c r="D49" s="14">
        <f>B49+C49</f>
        <v/>
      </c>
      <c r="E49" s="15">
        <f>SUMIFS(Табель_55!$M$2:$M$278,Табель_55!$D$2:$D$278,A49)</f>
        <v/>
      </c>
      <c r="F49" s="15">
        <f>SUMIFS(Без_рядків!$K$2:$K$67,Без_рядків!$D$2:$D$67,A49)</f>
        <v/>
      </c>
      <c r="G49" s="15">
        <f>E49+F49</f>
        <v/>
      </c>
    </row>
    <row r="50">
      <c r="A50" s="5" t="inlineStr">
        <is>
          <t>2026-05</t>
        </is>
      </c>
      <c r="B50" s="14">
        <f>SUMIFS(Табель_55!$J$2:$J$278,Табель_55!$D$2:$D$278,A50)</f>
        <v/>
      </c>
      <c r="C50" s="14">
        <f>SUMIFS(Без_рядків!$H$2:$H$67,Без_рядків!$D$2:$D$67,A50)</f>
        <v/>
      </c>
      <c r="D50" s="14">
        <f>B50+C50</f>
        <v/>
      </c>
      <c r="E50" s="15">
        <f>SUMIFS(Табель_55!$M$2:$M$278,Табель_55!$D$2:$D$278,A50)</f>
        <v/>
      </c>
      <c r="F50" s="15">
        <f>SUMIFS(Без_рядків!$K$2:$K$67,Без_рядків!$D$2:$D$67,A50)</f>
        <v/>
      </c>
      <c r="G50" s="15">
        <f>E50+F50</f>
        <v/>
      </c>
    </row>
    <row r="51">
      <c r="A51" s="5" t="inlineStr">
        <is>
          <t>2026-06</t>
        </is>
      </c>
      <c r="B51" s="14">
        <f>SUMIFS(Табель_55!$J$2:$J$278,Табель_55!$D$2:$D$278,A51)</f>
        <v/>
      </c>
      <c r="C51" s="14">
        <f>SUMIFS(Без_рядків!$H$2:$H$67,Без_рядків!$D$2:$D$67,A51)</f>
        <v/>
      </c>
      <c r="D51" s="14">
        <f>B51+C51</f>
        <v/>
      </c>
      <c r="E51" s="15">
        <f>SUMIFS(Табель_55!$M$2:$M$278,Табель_55!$D$2:$D$278,A51)</f>
        <v/>
      </c>
      <c r="F51" s="15">
        <f>SUMIFS(Без_рядків!$K$2:$K$67,Без_рядків!$D$2:$D$67,A51)</f>
        <v/>
      </c>
      <c r="G51" s="15">
        <f>E51+F51</f>
        <v/>
      </c>
    </row>
    <row r="52">
      <c r="A52" s="5" t="inlineStr">
        <is>
          <t>2026-07</t>
        </is>
      </c>
      <c r="B52" s="14">
        <f>SUMIFS(Табель_55!$J$2:$J$278,Табель_55!$D$2:$D$278,A52)</f>
        <v/>
      </c>
      <c r="C52" s="14">
        <f>SUMIFS(Без_рядків!$H$2:$H$67,Без_рядків!$D$2:$D$67,A52)</f>
        <v/>
      </c>
      <c r="D52" s="14">
        <f>B52+C52</f>
        <v/>
      </c>
      <c r="E52" s="15">
        <f>SUMIFS(Табель_55!$M$2:$M$278,Табель_55!$D$2:$D$278,A52)</f>
        <v/>
      </c>
      <c r="F52" s="15">
        <f>SUMIFS(Без_рядків!$K$2:$K$67,Без_рядків!$D$2:$D$67,A52)</f>
        <v/>
      </c>
      <c r="G52" s="15">
        <f>E52+F52</f>
        <v/>
      </c>
    </row>
    <row r="53">
      <c r="A53" s="5" t="inlineStr">
        <is>
          <t>2026-08</t>
        </is>
      </c>
      <c r="B53" s="14">
        <f>SUMIFS(Табель_55!$J$2:$J$278,Табель_55!$D$2:$D$278,A53)</f>
        <v/>
      </c>
      <c r="C53" s="14">
        <f>SUMIFS(Без_рядків!$H$2:$H$67,Без_рядків!$D$2:$D$67,A53)</f>
        <v/>
      </c>
      <c r="D53" s="14">
        <f>B53+C53</f>
        <v/>
      </c>
      <c r="E53" s="15">
        <f>SUMIFS(Табель_55!$M$2:$M$278,Табель_55!$D$2:$D$278,A53)</f>
        <v/>
      </c>
      <c r="F53" s="15">
        <f>SUMIFS(Без_рядків!$K$2:$K$67,Без_рядків!$D$2:$D$67,A53)</f>
        <v/>
      </c>
      <c r="G53" s="15">
        <f>E53+F53</f>
        <v/>
      </c>
    </row>
    <row r="54">
      <c r="A54" s="5" t="inlineStr">
        <is>
          <t>2026-09</t>
        </is>
      </c>
      <c r="B54" s="14">
        <f>SUMIFS(Табель_55!$J$2:$J$278,Табель_55!$D$2:$D$278,A54)</f>
        <v/>
      </c>
      <c r="C54" s="14">
        <f>SUMIFS(Без_рядків!$H$2:$H$67,Без_рядків!$D$2:$D$67,A54)</f>
        <v/>
      </c>
      <c r="D54" s="14">
        <f>B54+C54</f>
        <v/>
      </c>
      <c r="E54" s="15">
        <f>SUMIFS(Табель_55!$M$2:$M$278,Табель_55!$D$2:$D$278,A54)</f>
        <v/>
      </c>
      <c r="F54" s="15">
        <f>SUMIFS(Без_рядків!$K$2:$K$67,Без_рядків!$D$2:$D$67,A54)</f>
        <v/>
      </c>
      <c r="G54" s="15">
        <f>E54+F54</f>
        <v/>
      </c>
    </row>
    <row r="55">
      <c r="A55" s="5" t="inlineStr">
        <is>
          <t>2026-10</t>
        </is>
      </c>
      <c r="B55" s="14">
        <f>SUMIFS(Табель_55!$J$2:$J$278,Табель_55!$D$2:$D$278,A55)</f>
        <v/>
      </c>
      <c r="C55" s="14">
        <f>SUMIFS(Без_рядків!$H$2:$H$67,Без_рядків!$D$2:$D$67,A55)</f>
        <v/>
      </c>
      <c r="D55" s="14">
        <f>B55+C55</f>
        <v/>
      </c>
      <c r="E55" s="15">
        <f>SUMIFS(Табель_55!$M$2:$M$278,Табель_55!$D$2:$D$278,A55)</f>
        <v/>
      </c>
      <c r="F55" s="15">
        <f>SUMIFS(Без_рядків!$K$2:$K$67,Без_рядків!$D$2:$D$67,A55)</f>
        <v/>
      </c>
      <c r="G55" s="15">
        <f>E55+F55</f>
        <v/>
      </c>
    </row>
    <row r="56">
      <c r="A56" s="16" t="inlineStr">
        <is>
          <t>РАЗОМ</t>
        </is>
      </c>
      <c r="B56" s="17">
        <f>SUM(B13:B55)</f>
        <v/>
      </c>
      <c r="C56" s="17">
        <f>SUM(C13:C55)</f>
        <v/>
      </c>
      <c r="D56" s="17">
        <f>SUM(D13:D55)</f>
        <v/>
      </c>
      <c r="E56" s="18">
        <f>SUM(E13:E55)</f>
        <v/>
      </c>
      <c r="F56" s="18">
        <f>SUM(F13:F55)</f>
        <v/>
      </c>
      <c r="G56" s="18">
        <f>SUM(G13:G55)</f>
        <v/>
      </c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19" t="inlineStr">
        <is>
          <t>Як читати</t>
        </is>
      </c>
      <c r="B58" s="2" t="n"/>
      <c r="C58" s="2" t="n"/>
      <c r="D58" s="2" t="n"/>
      <c r="E58" s="2" t="n"/>
      <c r="F58" s="2" t="n"/>
      <c r="G58" s="2" t="n"/>
    </row>
    <row r="59">
      <c r="A59" s="5" t="inlineStr">
        <is>
          <t>• «Табель» — рядки проєкту 55, де фактичний час (td_actual_hours_amount) більший за виставлений (unit_amount): частково виставлені й безкоштовні (виставлено 0). Аркуш «Табель_55», кожен рядок з ID.</t>
        </is>
      </c>
      <c r="B59" s="2" t="n"/>
      <c r="C59" s="2" t="n"/>
      <c r="D59" s="2" t="n"/>
      <c r="E59" s="2" t="n"/>
      <c r="F59" s="2" t="n"/>
      <c r="G59" s="2" t="n"/>
    </row>
    <row r="60">
      <c r="A60" s="5" t="inlineStr">
        <is>
          <t>• «Без рядків у табелі» — робота, яка видна в чаті, задачах Odoo, на зустрічах чи в документах, але не має жодного рядка в табелі. Оцінка консервативна, з джерелом. Аркуш «Без_рядків».</t>
        </is>
      </c>
      <c r="B60" s="2" t="n"/>
      <c r="C60" s="2" t="n"/>
      <c r="D60" s="2" t="n"/>
      <c r="E60" s="2" t="n"/>
      <c r="F60" s="2" t="n"/>
      <c r="G60" s="2" t="n"/>
    </row>
    <row r="61">
      <c r="A61" s="5" t="inlineStr">
        <is>
          <t>• «Окремо (не в сумі)» — те, що не додаємо: роль керівників на зустрічах, непідтверджені зустрічі, гарантійні поступки, внутрішній онбординг #2930, рядки 0/0, дублі.</t>
        </is>
      </c>
      <c r="B61" s="2" t="n"/>
      <c r="C61" s="2" t="n"/>
      <c r="D61" s="2" t="n"/>
      <c r="E61" s="2" t="n"/>
      <c r="F61" s="2" t="n"/>
      <c r="G61" s="2" t="n"/>
    </row>
    <row r="62">
      <c r="A62" s="5" t="inlineStr">
        <is>
          <t>• Не казати «завжди виставляли менше факту»: є 164,5 год ручних рядків без факту (переважно 2023). Коректно: «на рядках із фактом виставлено 513 год із 645».</t>
        </is>
      </c>
      <c r="B62" s="2" t="n"/>
      <c r="C62" s="2" t="n"/>
      <c r="D62" s="2" t="n"/>
      <c r="E62" s="2" t="n"/>
      <c r="F62" s="2" t="n"/>
      <c r="G62" s="2" t="n"/>
    </row>
    <row r="63">
      <c r="A63" s="5" t="inlineStr">
        <is>
          <t>• Листопад 2023 оплачено актом на 11,5 год, хоча рядків табеля немає, — це не невиставлене.</t>
        </is>
      </c>
      <c r="B63" s="2" t="n"/>
      <c r="C63" s="2" t="n"/>
      <c r="D63" s="2" t="n"/>
      <c r="E63" s="2" t="n"/>
      <c r="F63" s="2" t="n"/>
      <c r="G63" s="2" t="n"/>
    </row>
    <row r="64">
      <c r="A64" s="5" t="inlineStr">
        <is>
          <t>• Рядок 19528 (13.12.2023, 1 год) може бути оплачений актом за 12.2023 — див. примітку на аркуші «Табель_55».</t>
        </is>
      </c>
      <c r="B64" s="2" t="n"/>
      <c r="C64" s="2" t="n"/>
      <c r="D64" s="2" t="n"/>
      <c r="E64" s="2" t="n"/>
      <c r="F64" s="2" t="n"/>
      <c r="G6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60" customWidth="1" min="4" max="4"/>
  </cols>
  <sheetData>
    <row r="1" ht="32" customHeight="1">
      <c r="A1" s="4" t="inlineStr">
        <is>
          <t>Місяць</t>
        </is>
      </c>
      <c r="B1" s="4" t="inlineStr">
        <is>
          <t>Курс EUR, грн</t>
        </is>
      </c>
      <c r="C1" s="4" t="inlineStr">
        <is>
          <t>Ставка, грн/год</t>
        </is>
      </c>
      <c r="D1" s="4" t="inlineStr">
        <is>
          <t>Джерело</t>
        </is>
      </c>
    </row>
    <row r="2">
      <c r="A2" s="5" t="inlineStr">
        <is>
          <t>2023-04</t>
        </is>
      </c>
      <c r="B2" s="20" t="n"/>
      <c r="C2" s="21">
        <f>IF(B2="",1600,50*B2)</f>
        <v/>
      </c>
      <c r="D2" s="5" t="inlineStr">
        <is>
          <t>до 04.2025 — 1600 грн/год</t>
        </is>
      </c>
    </row>
    <row r="3">
      <c r="A3" s="5" t="inlineStr">
        <is>
          <t>2023-05</t>
        </is>
      </c>
      <c r="B3" s="20" t="n"/>
      <c r="C3" s="21">
        <f>IF(B3="",1600,50*B3)</f>
        <v/>
      </c>
      <c r="D3" s="5" t="inlineStr">
        <is>
          <t>до 04.2025 — 1600 грн/год</t>
        </is>
      </c>
    </row>
    <row r="4">
      <c r="A4" s="5" t="inlineStr">
        <is>
          <t>2023-06</t>
        </is>
      </c>
      <c r="B4" s="20" t="n"/>
      <c r="C4" s="21">
        <f>IF(B4="",1600,50*B4)</f>
        <v/>
      </c>
      <c r="D4" s="5" t="inlineStr">
        <is>
          <t>до 04.2025 — 1600 грн/год</t>
        </is>
      </c>
    </row>
    <row r="5">
      <c r="A5" s="5" t="inlineStr">
        <is>
          <t>2023-07</t>
        </is>
      </c>
      <c r="B5" s="20" t="n"/>
      <c r="C5" s="21">
        <f>IF(B5="",1600,50*B5)</f>
        <v/>
      </c>
      <c r="D5" s="5" t="inlineStr">
        <is>
          <t>до 04.2025 — 1600 грн/год</t>
        </is>
      </c>
    </row>
    <row r="6">
      <c r="A6" s="5" t="inlineStr">
        <is>
          <t>2023-08</t>
        </is>
      </c>
      <c r="B6" s="20" t="n"/>
      <c r="C6" s="21">
        <f>IF(B6="",1600,50*B6)</f>
        <v/>
      </c>
      <c r="D6" s="5" t="inlineStr">
        <is>
          <t>до 04.2025 — 1600 грн/год</t>
        </is>
      </c>
    </row>
    <row r="7">
      <c r="A7" s="5" t="inlineStr">
        <is>
          <t>2023-09</t>
        </is>
      </c>
      <c r="B7" s="20" t="n"/>
      <c r="C7" s="21">
        <f>IF(B7="",1600,50*B7)</f>
        <v/>
      </c>
      <c r="D7" s="5" t="inlineStr">
        <is>
          <t>до 04.2025 — 1600 грн/год</t>
        </is>
      </c>
    </row>
    <row r="8">
      <c r="A8" s="5" t="inlineStr">
        <is>
          <t>2023-10</t>
        </is>
      </c>
      <c r="B8" s="20" t="n"/>
      <c r="C8" s="21">
        <f>IF(B8="",1600,50*B8)</f>
        <v/>
      </c>
      <c r="D8" s="5" t="inlineStr">
        <is>
          <t>до 04.2025 — 1600 грн/год</t>
        </is>
      </c>
    </row>
    <row r="9">
      <c r="A9" s="5" t="inlineStr">
        <is>
          <t>2023-11</t>
        </is>
      </c>
      <c r="B9" s="20" t="n"/>
      <c r="C9" s="21">
        <f>IF(B9="",1600,50*B9)</f>
        <v/>
      </c>
      <c r="D9" s="5" t="inlineStr">
        <is>
          <t>до 04.2025 — 1600 грн/год</t>
        </is>
      </c>
    </row>
    <row r="10">
      <c r="A10" s="5" t="inlineStr">
        <is>
          <t>2023-12</t>
        </is>
      </c>
      <c r="B10" s="20" t="n"/>
      <c r="C10" s="21">
        <f>IF(B10="",1600,50*B10)</f>
        <v/>
      </c>
      <c r="D10" s="5" t="inlineStr">
        <is>
          <t>до 04.2025 — 1600 грн/год</t>
        </is>
      </c>
    </row>
    <row r="11">
      <c r="A11" s="5" t="inlineStr">
        <is>
          <t>2024-01</t>
        </is>
      </c>
      <c r="B11" s="20" t="n"/>
      <c r="C11" s="21">
        <f>IF(B11="",1600,50*B11)</f>
        <v/>
      </c>
      <c r="D11" s="5" t="inlineStr">
        <is>
          <t>до 04.2025 — 1600 грн/год</t>
        </is>
      </c>
    </row>
    <row r="12">
      <c r="A12" s="5" t="inlineStr">
        <is>
          <t>2024-02</t>
        </is>
      </c>
      <c r="B12" s="20" t="n"/>
      <c r="C12" s="21">
        <f>IF(B12="",1600,50*B12)</f>
        <v/>
      </c>
      <c r="D12" s="5" t="inlineStr">
        <is>
          <t>до 04.2025 — 1600 грн/год</t>
        </is>
      </c>
    </row>
    <row r="13">
      <c r="A13" s="5" t="inlineStr">
        <is>
          <t>2024-03</t>
        </is>
      </c>
      <c r="B13" s="20" t="n"/>
      <c r="C13" s="21">
        <f>IF(B13="",1600,50*B13)</f>
        <v/>
      </c>
      <c r="D13" s="5" t="inlineStr">
        <is>
          <t>до 04.2025 — 1600 грн/год</t>
        </is>
      </c>
    </row>
    <row r="14">
      <c r="A14" s="5" t="inlineStr">
        <is>
          <t>2024-04</t>
        </is>
      </c>
      <c r="B14" s="20" t="n"/>
      <c r="C14" s="21">
        <f>IF(B14="",1600,50*B14)</f>
        <v/>
      </c>
      <c r="D14" s="5" t="inlineStr">
        <is>
          <t>до 04.2025 — 1600 грн/год</t>
        </is>
      </c>
    </row>
    <row r="15">
      <c r="A15" s="5" t="inlineStr">
        <is>
          <t>2024-05</t>
        </is>
      </c>
      <c r="B15" s="20" t="n"/>
      <c r="C15" s="21">
        <f>IF(B15="",1600,50*B15)</f>
        <v/>
      </c>
      <c r="D15" s="5" t="inlineStr">
        <is>
          <t>до 04.2025 — 1600 грн/год</t>
        </is>
      </c>
    </row>
    <row r="16">
      <c r="A16" s="5" t="inlineStr">
        <is>
          <t>2024-06</t>
        </is>
      </c>
      <c r="B16" s="20" t="n"/>
      <c r="C16" s="21">
        <f>IF(B16="",1600,50*B16)</f>
        <v/>
      </c>
      <c r="D16" s="5" t="inlineStr">
        <is>
          <t>до 04.2025 — 1600 грн/год</t>
        </is>
      </c>
    </row>
    <row r="17">
      <c r="A17" s="5" t="inlineStr">
        <is>
          <t>2024-07</t>
        </is>
      </c>
      <c r="B17" s="20" t="n"/>
      <c r="C17" s="21">
        <f>IF(B17="",1600,50*B17)</f>
        <v/>
      </c>
      <c r="D17" s="5" t="inlineStr">
        <is>
          <t>до 04.2025 — 1600 грн/год</t>
        </is>
      </c>
    </row>
    <row r="18">
      <c r="A18" s="5" t="inlineStr">
        <is>
          <t>2024-08</t>
        </is>
      </c>
      <c r="B18" s="20" t="n"/>
      <c r="C18" s="21">
        <f>IF(B18="",1600,50*B18)</f>
        <v/>
      </c>
      <c r="D18" s="5" t="inlineStr">
        <is>
          <t>до 04.2025 — 1600 грн/год</t>
        </is>
      </c>
    </row>
    <row r="19">
      <c r="A19" s="5" t="inlineStr">
        <is>
          <t>2024-09</t>
        </is>
      </c>
      <c r="B19" s="20" t="n"/>
      <c r="C19" s="21">
        <f>IF(B19="",1600,50*B19)</f>
        <v/>
      </c>
      <c r="D19" s="5" t="inlineStr">
        <is>
          <t>до 04.2025 — 1600 грн/год</t>
        </is>
      </c>
    </row>
    <row r="20">
      <c r="A20" s="5" t="inlineStr">
        <is>
          <t>2024-10</t>
        </is>
      </c>
      <c r="B20" s="20" t="n"/>
      <c r="C20" s="21">
        <f>IF(B20="",1600,50*B20)</f>
        <v/>
      </c>
      <c r="D20" s="5" t="inlineStr">
        <is>
          <t>до 04.2025 — 1600 грн/год</t>
        </is>
      </c>
    </row>
    <row r="21">
      <c r="A21" s="5" t="inlineStr">
        <is>
          <t>2024-11</t>
        </is>
      </c>
      <c r="B21" s="20" t="n"/>
      <c r="C21" s="21">
        <f>IF(B21="",1600,50*B21)</f>
        <v/>
      </c>
      <c r="D21" s="5" t="inlineStr">
        <is>
          <t>до 04.2025 — 1600 грн/год</t>
        </is>
      </c>
    </row>
    <row r="22">
      <c r="A22" s="5" t="inlineStr">
        <is>
          <t>2024-12</t>
        </is>
      </c>
      <c r="B22" s="20" t="n"/>
      <c r="C22" s="21">
        <f>IF(B22="",1600,50*B22)</f>
        <v/>
      </c>
      <c r="D22" s="5" t="inlineStr">
        <is>
          <t>до 04.2025 — 1600 грн/год</t>
        </is>
      </c>
    </row>
    <row r="23">
      <c r="A23" s="5" t="inlineStr">
        <is>
          <t>2025-01</t>
        </is>
      </c>
      <c r="B23" s="20" t="n"/>
      <c r="C23" s="21">
        <f>IF(B23="",1600,50*B23)</f>
        <v/>
      </c>
      <c r="D23" s="5" t="inlineStr">
        <is>
          <t>до 04.2025 — 1600 грн/год</t>
        </is>
      </c>
    </row>
    <row r="24">
      <c r="A24" s="5" t="inlineStr">
        <is>
          <t>2025-02</t>
        </is>
      </c>
      <c r="B24" s="20" t="n"/>
      <c r="C24" s="21">
        <f>IF(B24="",1600,50*B24)</f>
        <v/>
      </c>
      <c r="D24" s="5" t="inlineStr">
        <is>
          <t>до 04.2025 — 1600 грн/год</t>
        </is>
      </c>
    </row>
    <row r="25">
      <c r="A25" s="5" t="inlineStr">
        <is>
          <t>2025-03</t>
        </is>
      </c>
      <c r="B25" s="20" t="n"/>
      <c r="C25" s="21">
        <f>IF(B25="",1600,50*B25)</f>
        <v/>
      </c>
      <c r="D25" s="5" t="inlineStr">
        <is>
          <t>до 04.2025 — 1600 грн/год</t>
        </is>
      </c>
    </row>
    <row r="26">
      <c r="A26" s="5" t="inlineStr">
        <is>
          <t>2025-04</t>
        </is>
      </c>
      <c r="B26" s="20" t="n"/>
      <c r="C26" s="21">
        <f>IF(B26="",1600,50*B26)</f>
        <v/>
      </c>
      <c r="D26" s="5" t="inlineStr">
        <is>
          <t>до 04.2025 — 1600 грн/год</t>
        </is>
      </c>
    </row>
    <row r="27">
      <c r="A27" s="5" t="inlineStr">
        <is>
          <t>2025-05</t>
        </is>
      </c>
      <c r="B27" s="20" t="n">
        <v>46.93</v>
      </c>
      <c r="C27" s="21">
        <f>IF(B27="",1600,50*B27)</f>
        <v/>
      </c>
      <c r="D27" s="5" t="inlineStr">
        <is>
          <t>курс прийнято 46,93 (як у звіті Q1)</t>
        </is>
      </c>
    </row>
    <row r="28">
      <c r="A28" s="5" t="inlineStr">
        <is>
          <t>2025-06</t>
        </is>
      </c>
      <c r="B28" s="20" t="n">
        <v>46.9318</v>
      </c>
      <c r="C28" s="21">
        <f>IF(B28="",1600,50*B28)</f>
        <v/>
      </c>
      <c r="D28" s="5" t="inlineStr">
        <is>
          <t>курс НБУ з res.currency.rate</t>
        </is>
      </c>
    </row>
    <row r="29">
      <c r="A29" s="5" t="inlineStr">
        <is>
          <t>2025-07</t>
        </is>
      </c>
      <c r="B29" s="20" t="n">
        <v>47.9775</v>
      </c>
      <c r="C29" s="21">
        <f>IF(B29="",1600,50*B29)</f>
        <v/>
      </c>
      <c r="D29" s="5" t="inlineStr">
        <is>
          <t>курс НБУ з res.currency.rate</t>
        </is>
      </c>
    </row>
    <row r="30">
      <c r="A30" s="5" t="inlineStr">
        <is>
          <t>2025-08</t>
        </is>
      </c>
      <c r="B30" s="20" t="n">
        <v>49.0421</v>
      </c>
      <c r="C30" s="21">
        <f>IF(B30="",1600,50*B30)</f>
        <v/>
      </c>
      <c r="D30" s="5" t="inlineStr">
        <is>
          <t>курс НБУ з res.currency.rate</t>
        </is>
      </c>
    </row>
    <row r="31">
      <c r="A31" s="5" t="inlineStr">
        <is>
          <t>2025-09</t>
        </is>
      </c>
      <c r="B31" s="20" t="n">
        <v>48.0851</v>
      </c>
      <c r="C31" s="21">
        <f>IF(B31="",1600,50*B31)</f>
        <v/>
      </c>
      <c r="D31" s="5" t="inlineStr">
        <is>
          <t>курс НБУ з res.currency.rate</t>
        </is>
      </c>
    </row>
    <row r="32">
      <c r="A32" s="5" t="inlineStr">
        <is>
          <t>2025-10</t>
        </is>
      </c>
      <c r="B32" s="20" t="n">
        <v>48.8163</v>
      </c>
      <c r="C32" s="21">
        <f>IF(B32="",1600,50*B32)</f>
        <v/>
      </c>
      <c r="D32" s="5" t="inlineStr">
        <is>
          <t>курс НБУ з res.currency.rate</t>
        </is>
      </c>
    </row>
    <row r="33">
      <c r="A33" s="5" t="inlineStr">
        <is>
          <t>2025-11</t>
        </is>
      </c>
      <c r="B33" s="20" t="n">
        <v>48.4223</v>
      </c>
      <c r="C33" s="21">
        <f>IF(B33="",1600,50*B33)</f>
        <v/>
      </c>
      <c r="D33" s="5" t="inlineStr">
        <is>
          <t>курс НБУ з res.currency.rate</t>
        </is>
      </c>
    </row>
    <row r="34">
      <c r="A34" s="5" t="inlineStr">
        <is>
          <t>2025-12</t>
        </is>
      </c>
      <c r="B34" s="20" t="n">
        <v>48.7833</v>
      </c>
      <c r="C34" s="21">
        <f>IF(B34="",1600,50*B34)</f>
        <v/>
      </c>
      <c r="D34" s="5" t="inlineStr">
        <is>
          <t>курс НБУ з res.currency.rate</t>
        </is>
      </c>
    </row>
    <row r="35">
      <c r="A35" s="5" t="inlineStr">
        <is>
          <t>2026-01</t>
        </is>
      </c>
      <c r="B35" s="20" t="n">
        <v>50.981</v>
      </c>
      <c r="C35" s="21">
        <f>IF(B35="",1600,50*B35)</f>
        <v/>
      </c>
      <c r="D35" s="5" t="inlineStr">
        <is>
          <t>курс із рахунків 2026</t>
        </is>
      </c>
    </row>
    <row r="36">
      <c r="A36" s="5" t="inlineStr">
        <is>
          <t>2026-02</t>
        </is>
      </c>
      <c r="B36" s="20" t="n">
        <v>50.759</v>
      </c>
      <c r="C36" s="21">
        <f>IF(B36="",1600,50*B36)</f>
        <v/>
      </c>
      <c r="D36" s="5" t="inlineStr">
        <is>
          <t>курс із рахунків 2026</t>
        </is>
      </c>
    </row>
    <row r="37">
      <c r="A37" s="5" t="inlineStr">
        <is>
          <t>2026-03</t>
        </is>
      </c>
      <c r="B37" s="20" t="n">
        <v>50.474</v>
      </c>
      <c r="C37" s="21">
        <f>IF(B37="",1600,50*B37)</f>
        <v/>
      </c>
      <c r="D37" s="5" t="inlineStr">
        <is>
          <t>курс із рахунків 2026</t>
        </is>
      </c>
    </row>
    <row r="38">
      <c r="A38" s="5" t="inlineStr">
        <is>
          <t>2026-04</t>
        </is>
      </c>
      <c r="B38" s="20" t="n">
        <v>50.754</v>
      </c>
      <c r="C38" s="21">
        <f>IF(B38="",1600,50*B38)</f>
        <v/>
      </c>
      <c r="D38" s="5" t="inlineStr">
        <is>
          <t>курс вересня 2026 (рахунку за місяць немає)</t>
        </is>
      </c>
    </row>
    <row r="39">
      <c r="A39" s="5" t="inlineStr">
        <is>
          <t>2026-05</t>
        </is>
      </c>
      <c r="B39" s="20" t="n">
        <v>51.601</v>
      </c>
      <c r="C39" s="21">
        <f>IF(B39="",1600,50*B39)</f>
        <v/>
      </c>
      <c r="D39" s="5" t="inlineStr">
        <is>
          <t>курс із рахунків 2026</t>
        </is>
      </c>
    </row>
    <row r="40">
      <c r="A40" s="5" t="inlineStr">
        <is>
          <t>2026-06</t>
        </is>
      </c>
      <c r="B40" s="20" t="n">
        <v>50.818</v>
      </c>
      <c r="C40" s="21">
        <f>IF(B40="",1600,50*B40)</f>
        <v/>
      </c>
      <c r="D40" s="5" t="inlineStr">
        <is>
          <t>курс із рахунків 2026</t>
        </is>
      </c>
    </row>
    <row r="41">
      <c r="A41" s="5" t="inlineStr">
        <is>
          <t>2026-07</t>
        </is>
      </c>
      <c r="B41" s="20" t="n">
        <v>50.754</v>
      </c>
      <c r="C41" s="21">
        <f>IF(B41="",1600,50*B41)</f>
        <v/>
      </c>
      <c r="D41" s="5" t="inlineStr">
        <is>
          <t>курс вересня 2026 (рахунку за місяць немає)</t>
        </is>
      </c>
    </row>
    <row r="42">
      <c r="A42" s="5" t="inlineStr">
        <is>
          <t>2026-08</t>
        </is>
      </c>
      <c r="B42" s="20" t="n">
        <v>51.42</v>
      </c>
      <c r="C42" s="21">
        <f>IF(B42="",1600,50*B42)</f>
        <v/>
      </c>
      <c r="D42" s="5" t="inlineStr">
        <is>
          <t>курс із рахунків 2026</t>
        </is>
      </c>
    </row>
    <row r="43">
      <c r="A43" s="5" t="inlineStr">
        <is>
          <t>2026-09</t>
        </is>
      </c>
      <c r="B43" s="20" t="n">
        <v>50.754</v>
      </c>
      <c r="C43" s="21">
        <f>IF(B43="",1600,50*B43)</f>
        <v/>
      </c>
      <c r="D43" s="5" t="inlineStr">
        <is>
          <t>курс із рахунків 2026</t>
        </is>
      </c>
    </row>
    <row r="44">
      <c r="A44" s="5" t="inlineStr">
        <is>
          <t>2026-10</t>
        </is>
      </c>
      <c r="B44" s="20" t="n">
        <v>50.754</v>
      </c>
      <c r="C44" s="21">
        <f>IF(B44="",1600,50*B44)</f>
        <v/>
      </c>
      <c r="D44" s="5" t="inlineStr">
        <is>
          <t>курс вересня 2026</t>
        </is>
      </c>
    </row>
    <row r="45">
      <c r="A45" s="2" t="n"/>
      <c r="B45" s="2" t="n"/>
      <c r="C45" s="2" t="n"/>
      <c r="D45" s="2" t="n"/>
    </row>
    <row r="46">
      <c r="A46" s="3" t="inlineStr">
        <is>
          <t>Ставка з 05.2025 — 50 € без ПДВ (ДУ №3) × курс; до 04.2025 — 1600 грн/год. Сині комірки — вхідні дані.</t>
        </is>
      </c>
      <c r="B46" s="2" t="n"/>
      <c r="C46" s="2" t="n"/>
      <c r="D4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9" customWidth="1" min="4" max="4"/>
    <col width="24" customWidth="1" min="5" max="5"/>
    <col width="40" customWidth="1" min="6" max="6"/>
    <col width="50" customWidth="1" min="7" max="7"/>
    <col width="11" customWidth="1" min="8" max="8"/>
    <col width="10" customWidth="1" min="9" max="9"/>
    <col width="12" customWidth="1" min="10" max="10"/>
    <col width="22" customWidth="1" min="11" max="11"/>
    <col width="11" customWidth="1" min="12" max="12"/>
    <col width="12" customWidth="1" min="13" max="13"/>
    <col width="40" customWidth="1" min="14" max="14"/>
  </cols>
  <sheetData>
    <row r="1" ht="32" customHeight="1">
      <c r="A1" s="4" t="inlineStr">
        <is>
          <t>ID рядка</t>
        </is>
      </c>
      <c r="B1" s="4" t="inlineStr">
        <is>
          <t>Дата</t>
        </is>
      </c>
      <c r="C1" s="4" t="inlineStr">
        <is>
          <t>Рік</t>
        </is>
      </c>
      <c r="D1" s="4" t="inlineStr">
        <is>
          <t>Місяць</t>
        </is>
      </c>
      <c r="E1" s="4" t="inlineStr">
        <is>
          <t>Співробітник</t>
        </is>
      </c>
      <c r="F1" s="4" t="inlineStr">
        <is>
          <t>Задача</t>
        </is>
      </c>
      <c r="G1" s="4" t="inlineStr">
        <is>
          <t>Опис рядка</t>
        </is>
      </c>
      <c r="H1" s="4" t="inlineStr">
        <is>
          <t>Виставлено, год</t>
        </is>
      </c>
      <c r="I1" s="4" t="inlineStr">
        <is>
          <t>Факт, год</t>
        </is>
      </c>
      <c r="J1" s="4" t="inlineStr">
        <is>
          <t>Не виставлено, год</t>
        </is>
      </c>
      <c r="K1" s="4" t="inlineStr">
        <is>
          <t>Тип</t>
        </is>
      </c>
      <c r="L1" s="4" t="inlineStr">
        <is>
          <t>Ставка, грн/год</t>
        </is>
      </c>
      <c r="M1" s="4" t="inlineStr">
        <is>
          <t>Сума, грн</t>
        </is>
      </c>
      <c r="N1" s="4" t="inlineStr">
        <is>
          <t>Примітка</t>
        </is>
      </c>
    </row>
    <row r="2">
      <c r="A2" s="22" t="n">
        <v>19528</v>
      </c>
      <c r="B2" s="22" t="inlineStr">
        <is>
          <t>2023-12-13</t>
        </is>
      </c>
      <c r="C2" s="22" t="inlineStr">
        <is>
          <t>2023</t>
        </is>
      </c>
      <c r="D2" s="22" t="inlineStr">
        <is>
          <t>2023-12</t>
        </is>
      </c>
      <c r="E2" s="22" t="inlineStr">
        <is>
          <t>Фіголь Дмитро</t>
        </is>
      </c>
      <c r="F2" s="22" t="inlineStr">
        <is>
          <t>Зустріч із клієнтом</t>
        </is>
      </c>
      <c r="G2" s="22" t="inlineStr">
        <is>
          <t>Зустріч із клієнтом</t>
        </is>
      </c>
      <c r="H2" s="23" t="n">
        <v>0</v>
      </c>
      <c r="I2" s="23" t="n">
        <v>1</v>
      </c>
      <c r="J2" s="23">
        <f>I2-H2</f>
        <v/>
      </c>
      <c r="K2" s="22" t="inlineStr">
        <is>
          <t>безкоштовно (виставлено 0)</t>
        </is>
      </c>
      <c r="L2" s="24">
        <f>INDEX(Ставки!$C$2:$C$44,MATCH(D2,Ставки!$A$2:$A$44,0))</f>
        <v/>
      </c>
      <c r="M2" s="24">
        <f>J2*L2</f>
        <v/>
      </c>
      <c r="N2" s="22" t="inlineStr">
        <is>
          <t>зустріч 13.12.2023; в акті за 12.2023 є 1 год за зустріч — можливо, оплачено</t>
        </is>
      </c>
    </row>
    <row r="3">
      <c r="A3" s="22" t="n">
        <v>19618</v>
      </c>
      <c r="B3" s="22" t="inlineStr">
        <is>
          <t>2023-12-15</t>
        </is>
      </c>
      <c r="C3" s="22" t="inlineStr">
        <is>
          <t>2023</t>
        </is>
      </c>
      <c r="D3" s="22" t="inlineStr">
        <is>
          <t>2023-12</t>
        </is>
      </c>
      <c r="E3" s="22" t="inlineStr">
        <is>
          <t>Пусташинський Юрій</t>
        </is>
      </c>
      <c r="F3" s="22" t="inlineStr">
        <is>
          <t>Вилучити баг по уповновеженим в проектах</t>
        </is>
      </c>
      <c r="G3" s="22" t="inlineStr">
        <is>
          <t>/</t>
        </is>
      </c>
      <c r="H3" s="23" t="n">
        <v>1</v>
      </c>
      <c r="I3" s="23" t="n">
        <v>1.5</v>
      </c>
      <c r="J3" s="23">
        <f>I3-H3</f>
        <v/>
      </c>
      <c r="K3" s="22" t="inlineStr">
        <is>
          <t>частково виставлено</t>
        </is>
      </c>
      <c r="L3" s="24">
        <f>INDEX(Ставки!$C$2:$C$44,MATCH(D3,Ставки!$A$2:$A$44,0))</f>
        <v/>
      </c>
      <c r="M3" s="24">
        <f>J3*L3</f>
        <v/>
      </c>
      <c r="N3" s="22" t="inlineStr"/>
    </row>
    <row r="4">
      <c r="A4" s="22" t="n">
        <v>19630</v>
      </c>
      <c r="B4" s="22" t="inlineStr">
        <is>
          <t>2023-12-15</t>
        </is>
      </c>
      <c r="C4" s="22" t="inlineStr">
        <is>
          <t>2023</t>
        </is>
      </c>
      <c r="D4" s="22" t="inlineStr">
        <is>
          <t>2023-12</t>
        </is>
      </c>
      <c r="E4" s="22" t="inlineStr">
        <is>
          <t>Пусташинський Юрій</t>
        </is>
      </c>
      <c r="F4" s="22" t="inlineStr">
        <is>
          <t>Винести СмартБатон в задачі</t>
        </is>
      </c>
      <c r="G4" s="22" t="inlineStr">
        <is>
          <t>/</t>
        </is>
      </c>
      <c r="H4" s="23" t="n">
        <v>2</v>
      </c>
      <c r="I4" s="23" t="n">
        <v>3</v>
      </c>
      <c r="J4" s="23">
        <f>I4-H4</f>
        <v/>
      </c>
      <c r="K4" s="22" t="inlineStr">
        <is>
          <t>частково виставлено</t>
        </is>
      </c>
      <c r="L4" s="24">
        <f>INDEX(Ставки!$C$2:$C$44,MATCH(D4,Ставки!$A$2:$A$44,0))</f>
        <v/>
      </c>
      <c r="M4" s="24">
        <f>J4*L4</f>
        <v/>
      </c>
      <c r="N4" s="22" t="inlineStr"/>
    </row>
    <row r="5">
      <c r="A5" s="22" t="n">
        <v>19932</v>
      </c>
      <c r="B5" s="22" t="inlineStr">
        <is>
          <t>2023-12-29</t>
        </is>
      </c>
      <c r="C5" s="22" t="inlineStr">
        <is>
          <t>2023</t>
        </is>
      </c>
      <c r="D5" s="22" t="inlineStr">
        <is>
          <t>2023-12</t>
        </is>
      </c>
      <c r="E5" s="22" t="inlineStr">
        <is>
          <t>Фіголь Дмитро</t>
        </is>
      </c>
      <c r="F5" s="22" t="inlineStr">
        <is>
          <t>Налаштувати деталізацію прав користувача</t>
        </is>
      </c>
      <c r="G5" s="22" t="inlineStr">
        <is>
          <t>тест</t>
        </is>
      </c>
      <c r="H5" s="23" t="n">
        <v>0</v>
      </c>
      <c r="I5" s="23" t="n">
        <v>0.5</v>
      </c>
      <c r="J5" s="23">
        <f>I5-H5</f>
        <v/>
      </c>
      <c r="K5" s="22" t="inlineStr">
        <is>
          <t>безкоштовно (виставлено 0)</t>
        </is>
      </c>
      <c r="L5" s="24">
        <f>INDEX(Ставки!$C$2:$C$44,MATCH(D5,Ставки!$A$2:$A$44,0))</f>
        <v/>
      </c>
      <c r="M5" s="24">
        <f>J5*L5</f>
        <v/>
      </c>
      <c r="N5" s="22" t="inlineStr">
        <is>
          <t>зустріч 29.12.2023</t>
        </is>
      </c>
    </row>
    <row r="6">
      <c r="A6" s="22" t="n">
        <v>20554</v>
      </c>
      <c r="B6" s="22" t="inlineStr">
        <is>
          <t>2024-01-15</t>
        </is>
      </c>
      <c r="C6" s="22" t="inlineStr">
        <is>
          <t>2024</t>
        </is>
      </c>
      <c r="D6" s="22" t="inlineStr">
        <is>
          <t>2024-01</t>
        </is>
      </c>
      <c r="E6" s="22" t="inlineStr">
        <is>
          <t>Адаменко Олесь</t>
        </is>
      </c>
      <c r="F6" s="22" t="inlineStr">
        <is>
          <t>Питання - відповіді</t>
        </is>
      </c>
      <c r="G6" s="22" t="inlineStr">
        <is>
          <t>Чи є доступ до редагування прав доступу у звичайних користувачів</t>
        </is>
      </c>
      <c r="H6" s="23" t="n">
        <v>0.25</v>
      </c>
      <c r="I6" s="23" t="n">
        <v>0.35</v>
      </c>
      <c r="J6" s="23">
        <f>I6-H6</f>
        <v/>
      </c>
      <c r="K6" s="22" t="inlineStr">
        <is>
          <t>частково виставлено</t>
        </is>
      </c>
      <c r="L6" s="24">
        <f>INDEX(Ставки!$C$2:$C$44,MATCH(D6,Ставки!$A$2:$A$44,0))</f>
        <v/>
      </c>
      <c r="M6" s="24">
        <f>J6*L6</f>
        <v/>
      </c>
      <c r="N6" s="22" t="inlineStr"/>
    </row>
    <row r="7">
      <c r="A7" s="22" t="n">
        <v>20557</v>
      </c>
      <c r="B7" s="22" t="inlineStr">
        <is>
          <t>2024-01-16</t>
        </is>
      </c>
      <c r="C7" s="22" t="inlineStr">
        <is>
          <t>2024</t>
        </is>
      </c>
      <c r="D7" s="22" t="inlineStr">
        <is>
          <t>2024-01</t>
        </is>
      </c>
      <c r="E7" s="22" t="inlineStr">
        <is>
          <t>Адаменко Олесь</t>
        </is>
      </c>
      <c r="F7" s="22" t="inlineStr">
        <is>
          <t>Питання - відповіді</t>
        </is>
      </c>
      <c r="G7" s="22" t="inlineStr">
        <is>
          <t>Підготовка до зустрічі: коментування файлу з проблемами та побажаннями</t>
        </is>
      </c>
      <c r="H7" s="23" t="n">
        <v>0.25</v>
      </c>
      <c r="I7" s="23" t="n">
        <v>0.4</v>
      </c>
      <c r="J7" s="23">
        <f>I7-H7</f>
        <v/>
      </c>
      <c r="K7" s="22" t="inlineStr">
        <is>
          <t>частково виставлено</t>
        </is>
      </c>
      <c r="L7" s="24">
        <f>INDEX(Ставки!$C$2:$C$44,MATCH(D7,Ставки!$A$2:$A$44,0))</f>
        <v/>
      </c>
      <c r="M7" s="24">
        <f>J7*L7</f>
        <v/>
      </c>
      <c r="N7" s="22" t="inlineStr"/>
    </row>
    <row r="8">
      <c r="A8" s="22" t="n">
        <v>20558</v>
      </c>
      <c r="B8" s="22" t="inlineStr">
        <is>
          <t>2024-01-16</t>
        </is>
      </c>
      <c r="C8" s="22" t="inlineStr">
        <is>
          <t>2024</t>
        </is>
      </c>
      <c r="D8" s="22" t="inlineStr">
        <is>
          <t>2024-01</t>
        </is>
      </c>
      <c r="E8" s="22" t="inlineStr">
        <is>
          <t>Адаменко Олесь</t>
        </is>
      </c>
      <c r="F8" s="22" t="inlineStr">
        <is>
          <t>Питання - відповіді</t>
        </is>
      </c>
      <c r="G8" s="22" t="inlineStr">
        <is>
          <t>Зустріч з LuxSite</t>
        </is>
      </c>
      <c r="H8" s="23" t="n">
        <v>0.75</v>
      </c>
      <c r="I8" s="23" t="n">
        <v>0.7833</v>
      </c>
      <c r="J8" s="23">
        <f>I8-H8</f>
        <v/>
      </c>
      <c r="K8" s="22" t="inlineStr">
        <is>
          <t>частково виставлено</t>
        </is>
      </c>
      <c r="L8" s="24">
        <f>INDEX(Ставки!$C$2:$C$44,MATCH(D8,Ставки!$A$2:$A$44,0))</f>
        <v/>
      </c>
      <c r="M8" s="24">
        <f>J8*L8</f>
        <v/>
      </c>
      <c r="N8" s="22" t="inlineStr"/>
    </row>
    <row r="9">
      <c r="A9" s="22" t="n">
        <v>20564</v>
      </c>
      <c r="B9" s="22" t="inlineStr">
        <is>
          <t>2024-01-17</t>
        </is>
      </c>
      <c r="C9" s="22" t="inlineStr">
        <is>
          <t>2024</t>
        </is>
      </c>
      <c r="D9" s="22" t="inlineStr">
        <is>
          <t>2024-01</t>
        </is>
      </c>
      <c r="E9" s="22" t="inlineStr">
        <is>
          <t>Адаменко Олесь</t>
        </is>
      </c>
      <c r="F9" s="22" t="inlineStr">
        <is>
          <t>Помилка: Налаштування підзавдань у проектах</t>
        </is>
      </c>
      <c r="G9" s="22" t="inlineStr">
        <is>
          <t>Оцінка ризиків</t>
        </is>
      </c>
      <c r="H9" s="23" t="n">
        <v>0.25</v>
      </c>
      <c r="I9" s="23" t="n">
        <v>0.3333</v>
      </c>
      <c r="J9" s="23">
        <f>I9-H9</f>
        <v/>
      </c>
      <c r="K9" s="22" t="inlineStr">
        <is>
          <t>частково виставлено</t>
        </is>
      </c>
      <c r="L9" s="24">
        <f>INDEX(Ставки!$C$2:$C$44,MATCH(D9,Ставки!$A$2:$A$44,0))</f>
        <v/>
      </c>
      <c r="M9" s="24">
        <f>J9*L9</f>
        <v/>
      </c>
      <c r="N9" s="22" t="inlineStr"/>
    </row>
    <row r="10">
      <c r="A10" s="22" t="n">
        <v>20571</v>
      </c>
      <c r="B10" s="22" t="inlineStr">
        <is>
          <t>2024-01-17</t>
        </is>
      </c>
      <c r="C10" s="22" t="inlineStr">
        <is>
          <t>2024</t>
        </is>
      </c>
      <c r="D10" s="22" t="inlineStr">
        <is>
          <t>2024-01</t>
        </is>
      </c>
      <c r="E10" s="22" t="inlineStr">
        <is>
          <t>Адаменко Олесь</t>
        </is>
      </c>
      <c r="F10" s="22" t="inlineStr">
        <is>
          <t>Питання - відповіді</t>
        </is>
      </c>
      <c r="G10" s="22" t="inlineStr">
        <is>
          <t>Проблеми з доменом зі сторони замовника</t>
        </is>
      </c>
      <c r="H10" s="23" t="n">
        <v>1.5</v>
      </c>
      <c r="I10" s="23" t="n">
        <v>1.5333</v>
      </c>
      <c r="J10" s="23">
        <f>I10-H10</f>
        <v/>
      </c>
      <c r="K10" s="22" t="inlineStr">
        <is>
          <t>частково виставлено</t>
        </is>
      </c>
      <c r="L10" s="24">
        <f>INDEX(Ставки!$C$2:$C$44,MATCH(D10,Ставки!$A$2:$A$44,0))</f>
        <v/>
      </c>
      <c r="M10" s="24">
        <f>J10*L10</f>
        <v/>
      </c>
      <c r="N10" s="22" t="inlineStr"/>
    </row>
    <row r="11">
      <c r="A11" s="22" t="n">
        <v>20575</v>
      </c>
      <c r="B11" s="22" t="inlineStr">
        <is>
          <t>2024-01-18</t>
        </is>
      </c>
      <c r="C11" s="22" t="inlineStr">
        <is>
          <t>2024</t>
        </is>
      </c>
      <c r="D11" s="22" t="inlineStr">
        <is>
          <t>2024-01</t>
        </is>
      </c>
      <c r="E11" s="22" t="inlineStr">
        <is>
          <t>Адаменко Олесь</t>
        </is>
      </c>
      <c r="F11" s="22" t="inlineStr">
        <is>
          <t>Питання - відповіді</t>
        </is>
      </c>
      <c r="G11" s="22" t="inlineStr">
        <is>
          <t>Тестування можливостей інформування при зміні стадії</t>
        </is>
      </c>
      <c r="H11" s="23" t="n">
        <v>0.25</v>
      </c>
      <c r="I11" s="23" t="n">
        <v>0.3667</v>
      </c>
      <c r="J11" s="23">
        <f>I11-H11</f>
        <v/>
      </c>
      <c r="K11" s="22" t="inlineStr">
        <is>
          <t>частково виставлено</t>
        </is>
      </c>
      <c r="L11" s="24">
        <f>INDEX(Ставки!$C$2:$C$44,MATCH(D11,Ставки!$A$2:$A$44,0))</f>
        <v/>
      </c>
      <c r="M11" s="24">
        <f>J11*L11</f>
        <v/>
      </c>
      <c r="N11" s="22" t="inlineStr"/>
    </row>
    <row r="12">
      <c r="A12" s="22" t="n">
        <v>20573</v>
      </c>
      <c r="B12" s="22" t="inlineStr">
        <is>
          <t>2024-01-19</t>
        </is>
      </c>
      <c r="C12" s="22" t="inlineStr">
        <is>
          <t>2024</t>
        </is>
      </c>
      <c r="D12" s="22" t="inlineStr">
        <is>
          <t>2024-01</t>
        </is>
      </c>
      <c r="E12" s="22" t="inlineStr">
        <is>
          <t>Адаменко Олесь</t>
        </is>
      </c>
      <c r="F12" s="22" t="inlineStr">
        <is>
          <t>Питання - відповіді</t>
        </is>
      </c>
      <c r="G12" s="22" t="inlineStr">
        <is>
          <t>Проблеми з повідомленнями у Марини Кот</t>
        </is>
      </c>
      <c r="H12" s="23" t="n">
        <v>0</v>
      </c>
      <c r="I12" s="23" t="n">
        <v>0.1167</v>
      </c>
      <c r="J12" s="23">
        <f>I12-H12</f>
        <v/>
      </c>
      <c r="K12" s="22" t="inlineStr">
        <is>
          <t>безкоштовно (виставлено 0)</t>
        </is>
      </c>
      <c r="L12" s="24">
        <f>INDEX(Ставки!$C$2:$C$44,MATCH(D12,Ставки!$A$2:$A$44,0))</f>
        <v/>
      </c>
      <c r="M12" s="24">
        <f>J12*L12</f>
        <v/>
      </c>
      <c r="N12" s="22" t="inlineStr"/>
    </row>
    <row r="13">
      <c r="A13" s="22" t="n">
        <v>20572</v>
      </c>
      <c r="B13" s="22" t="inlineStr">
        <is>
          <t>2024-01-22</t>
        </is>
      </c>
      <c r="C13" s="22" t="inlineStr">
        <is>
          <t>2024</t>
        </is>
      </c>
      <c r="D13" s="22" t="inlineStr">
        <is>
          <t>2024-01</t>
        </is>
      </c>
      <c r="E13" s="22" t="inlineStr">
        <is>
          <t>Адаменко Олесь</t>
        </is>
      </c>
      <c r="F13" s="22" t="inlineStr">
        <is>
          <t>Питання - відповіді</t>
        </is>
      </c>
      <c r="G13" s="22" t="inlineStr">
        <is>
          <t>Підготовка до зустрічі: коментування файлу з проблемами та побажаннями</t>
        </is>
      </c>
      <c r="H13" s="23" t="n">
        <v>0.5</v>
      </c>
      <c r="I13" s="23" t="n">
        <v>0.5167</v>
      </c>
      <c r="J13" s="23">
        <f>I13-H13</f>
        <v/>
      </c>
      <c r="K13" s="22" t="inlineStr">
        <is>
          <t>частково виставлено</t>
        </is>
      </c>
      <c r="L13" s="24">
        <f>INDEX(Ставки!$C$2:$C$44,MATCH(D13,Ставки!$A$2:$A$44,0))</f>
        <v/>
      </c>
      <c r="M13" s="24">
        <f>J13*L13</f>
        <v/>
      </c>
      <c r="N13" s="22" t="inlineStr"/>
    </row>
    <row r="14">
      <c r="A14" s="22" t="n">
        <v>20577</v>
      </c>
      <c r="B14" s="22" t="inlineStr">
        <is>
          <t>2024-01-22</t>
        </is>
      </c>
      <c r="C14" s="22" t="inlineStr">
        <is>
          <t>2024</t>
        </is>
      </c>
      <c r="D14" s="22" t="inlineStr">
        <is>
          <t>2024-01</t>
        </is>
      </c>
      <c r="E14" s="22" t="inlineStr">
        <is>
          <t>Адаменко Олесь</t>
        </is>
      </c>
      <c r="F14" s="22" t="inlineStr">
        <is>
          <t>Питання - відповіді</t>
        </is>
      </c>
      <c r="G14" s="22" t="inlineStr">
        <is>
          <t>Зустріч з LuxSite</t>
        </is>
      </c>
      <c r="H14" s="23" t="n">
        <v>0.5</v>
      </c>
      <c r="I14" s="23" t="n">
        <v>0.5333</v>
      </c>
      <c r="J14" s="23">
        <f>I14-H14</f>
        <v/>
      </c>
      <c r="K14" s="22" t="inlineStr">
        <is>
          <t>частково виставлено</t>
        </is>
      </c>
      <c r="L14" s="24">
        <f>INDEX(Ставки!$C$2:$C$44,MATCH(D14,Ставки!$A$2:$A$44,0))</f>
        <v/>
      </c>
      <c r="M14" s="24">
        <f>J14*L14</f>
        <v/>
      </c>
      <c r="N14" s="22" t="inlineStr"/>
    </row>
    <row r="15">
      <c r="A15" s="22" t="n">
        <v>20520</v>
      </c>
      <c r="B15" s="22" t="inlineStr">
        <is>
          <t>2024-01-23</t>
        </is>
      </c>
      <c r="C15" s="22" t="inlineStr">
        <is>
          <t>2024</t>
        </is>
      </c>
      <c r="D15" s="22" t="inlineStr">
        <is>
          <t>2024-01</t>
        </is>
      </c>
      <c r="E15" s="22" t="inlineStr">
        <is>
          <t>Адаменко Олесь</t>
        </is>
      </c>
      <c r="F15" s="22" t="inlineStr">
        <is>
          <t>Допрацювання: Автоматичне додавання заявок з сайту в CRM</t>
        </is>
      </c>
      <c r="G15" s="22" t="inlineStr">
        <is>
          <t>Постановка задачі</t>
        </is>
      </c>
      <c r="H15" s="23" t="n">
        <v>0.5</v>
      </c>
      <c r="I15" s="23" t="n">
        <v>0.6167</v>
      </c>
      <c r="J15" s="23">
        <f>I15-H15</f>
        <v/>
      </c>
      <c r="K15" s="22" t="inlineStr">
        <is>
          <t>частково виставлено</t>
        </is>
      </c>
      <c r="L15" s="24">
        <f>INDEX(Ставки!$C$2:$C$44,MATCH(D15,Ставки!$A$2:$A$44,0))</f>
        <v/>
      </c>
      <c r="M15" s="24">
        <f>J15*L15</f>
        <v/>
      </c>
      <c r="N15" s="22" t="inlineStr"/>
    </row>
    <row r="16">
      <c r="A16" s="22" t="n">
        <v>20589</v>
      </c>
      <c r="B16" s="22" t="inlineStr">
        <is>
          <t>2024-01-24</t>
        </is>
      </c>
      <c r="C16" s="22" t="inlineStr">
        <is>
          <t>2024</t>
        </is>
      </c>
      <c r="D16" s="22" t="inlineStr">
        <is>
          <t>2024-01</t>
        </is>
      </c>
      <c r="E16" s="22" t="inlineStr">
        <is>
          <t>Адаменко Олесь</t>
        </is>
      </c>
      <c r="F16" s="22" t="inlineStr">
        <is>
          <t>Щотижнева зустріч з замовником 17.01-31.01</t>
        </is>
      </c>
      <c r="G16" s="22" t="inlineStr">
        <is>
          <t>Протокол зустрічі</t>
        </is>
      </c>
      <c r="H16" s="23" t="n">
        <v>1.25</v>
      </c>
      <c r="I16" s="23" t="n">
        <v>1.4167</v>
      </c>
      <c r="J16" s="23">
        <f>I16-H16</f>
        <v/>
      </c>
      <c r="K16" s="22" t="inlineStr">
        <is>
          <t>частково виставлено</t>
        </is>
      </c>
      <c r="L16" s="24">
        <f>INDEX(Ставки!$C$2:$C$44,MATCH(D16,Ставки!$A$2:$A$44,0))</f>
        <v/>
      </c>
      <c r="M16" s="24">
        <f>J16*L16</f>
        <v/>
      </c>
      <c r="N16" s="22" t="inlineStr"/>
    </row>
    <row r="17">
      <c r="A17" s="22" t="n">
        <v>20600</v>
      </c>
      <c r="B17" s="22" t="inlineStr">
        <is>
          <t>2024-01-24</t>
        </is>
      </c>
      <c r="C17" s="22" t="inlineStr">
        <is>
          <t>2024</t>
        </is>
      </c>
      <c r="D17" s="22" t="inlineStr">
        <is>
          <t>2024-01</t>
        </is>
      </c>
      <c r="E17" s="22" t="inlineStr">
        <is>
          <t>Адаменко Олесь</t>
        </is>
      </c>
      <c r="F17" s="22" t="inlineStr">
        <is>
          <t>Помилка: Налаштування підзавдань у проектах</t>
        </is>
      </c>
      <c r="G17" s="22" t="inlineStr">
        <is>
          <t>Тестування проблеми та опис</t>
        </is>
      </c>
      <c r="H17" s="23" t="n">
        <v>0.25</v>
      </c>
      <c r="I17" s="23" t="n">
        <v>0.3667</v>
      </c>
      <c r="J17" s="23">
        <f>I17-H17</f>
        <v/>
      </c>
      <c r="K17" s="22" t="inlineStr">
        <is>
          <t>частково виставлено</t>
        </is>
      </c>
      <c r="L17" s="24">
        <f>INDEX(Ставки!$C$2:$C$44,MATCH(D17,Ставки!$A$2:$A$44,0))</f>
        <v/>
      </c>
      <c r="M17" s="24">
        <f>J17*L17</f>
        <v/>
      </c>
      <c r="N17" s="22" t="inlineStr"/>
    </row>
    <row r="18">
      <c r="A18" s="22" t="n">
        <v>20683</v>
      </c>
      <c r="B18" s="22" t="inlineStr">
        <is>
          <t>2024-01-25</t>
        </is>
      </c>
      <c r="C18" s="22" t="inlineStr">
        <is>
          <t>2024</t>
        </is>
      </c>
      <c r="D18" s="22" t="inlineStr">
        <is>
          <t>2024-01</t>
        </is>
      </c>
      <c r="E18" s="22" t="inlineStr">
        <is>
          <t>Адаменко Олесь</t>
        </is>
      </c>
      <c r="F18" s="22" t="inlineStr">
        <is>
          <t>Проблеми роботи додатку Ганта</t>
        </is>
      </c>
      <c r="G18" s="22" t="inlineStr">
        <is>
          <t>Перенесено прод базу в тестову. Оновлено модуль Ганта.</t>
        </is>
      </c>
      <c r="H18" s="23" t="n">
        <v>0.75</v>
      </c>
      <c r="I18" s="23" t="n">
        <v>0.7833</v>
      </c>
      <c r="J18" s="23">
        <f>I18-H18</f>
        <v/>
      </c>
      <c r="K18" s="22" t="inlineStr">
        <is>
          <t>частково виставлено</t>
        </is>
      </c>
      <c r="L18" s="24">
        <f>INDEX(Ставки!$C$2:$C$44,MATCH(D18,Ставки!$A$2:$A$44,0))</f>
        <v/>
      </c>
      <c r="M18" s="24">
        <f>J18*L18</f>
        <v/>
      </c>
      <c r="N18" s="22" t="inlineStr"/>
    </row>
    <row r="19">
      <c r="A19" s="22" t="n">
        <v>20686</v>
      </c>
      <c r="B19" s="22" t="inlineStr">
        <is>
          <t>2024-01-25</t>
        </is>
      </c>
      <c r="C19" s="22" t="inlineStr">
        <is>
          <t>2024</t>
        </is>
      </c>
      <c r="D19" s="22" t="inlineStr">
        <is>
          <t>2024-01</t>
        </is>
      </c>
      <c r="E19" s="22" t="inlineStr">
        <is>
          <t>Адаменко Олесь</t>
        </is>
      </c>
      <c r="F19" s="22" t="inlineStr">
        <is>
          <t>Проблеми роботи додатку Ганта</t>
        </is>
      </c>
      <c r="G19" s="22" t="inlineStr">
        <is>
          <t>При наведенні на задачу, зникло меню з пунктами “Редагування” та “видалення” задачі. - перевірка.</t>
        </is>
      </c>
      <c r="H19" s="23" t="n">
        <v>0.25</v>
      </c>
      <c r="I19" s="23" t="n">
        <v>0.2833</v>
      </c>
      <c r="J19" s="23">
        <f>I19-H19</f>
        <v/>
      </c>
      <c r="K19" s="22" t="inlineStr">
        <is>
          <t>частково виставлено</t>
        </is>
      </c>
      <c r="L19" s="24">
        <f>INDEX(Ставки!$C$2:$C$44,MATCH(D19,Ставки!$A$2:$A$44,0))</f>
        <v/>
      </c>
      <c r="M19" s="24">
        <f>J19*L19</f>
        <v/>
      </c>
      <c r="N19" s="22" t="inlineStr"/>
    </row>
    <row r="20">
      <c r="A20" s="22" t="n">
        <v>20687</v>
      </c>
      <c r="B20" s="22" t="inlineStr">
        <is>
          <t>2024-01-25</t>
        </is>
      </c>
      <c r="C20" s="22" t="inlineStr">
        <is>
          <t>2024</t>
        </is>
      </c>
      <c r="D20" s="22" t="inlineStr">
        <is>
          <t>2024-01</t>
        </is>
      </c>
      <c r="E20" s="22" t="inlineStr">
        <is>
          <t>Адаменко Олесь</t>
        </is>
      </c>
      <c r="F20" s="22" t="inlineStr">
        <is>
          <t>Створення нового договору</t>
        </is>
      </c>
      <c r="G20" s="22" t="inlineStr">
        <is>
          <t>Робота по договору з новими модулями</t>
        </is>
      </c>
      <c r="H20" s="23" t="n">
        <v>0</v>
      </c>
      <c r="I20" s="23" t="n">
        <v>0.25</v>
      </c>
      <c r="J20" s="23">
        <f>I20-H20</f>
        <v/>
      </c>
      <c r="K20" s="22" t="inlineStr">
        <is>
          <t>безкоштовно (виставлено 0)</t>
        </is>
      </c>
      <c r="L20" s="24">
        <f>INDEX(Ставки!$C$2:$C$44,MATCH(D20,Ставки!$A$2:$A$44,0))</f>
        <v/>
      </c>
      <c r="M20" s="24">
        <f>J20*L20</f>
        <v/>
      </c>
      <c r="N20" s="22" t="inlineStr"/>
    </row>
    <row r="21">
      <c r="A21" s="22" t="n">
        <v>20688</v>
      </c>
      <c r="B21" s="22" t="inlineStr">
        <is>
          <t>2024-01-25</t>
        </is>
      </c>
      <c r="C21" s="22" t="inlineStr">
        <is>
          <t>2024</t>
        </is>
      </c>
      <c r="D21" s="22" t="inlineStr">
        <is>
          <t>2024-01</t>
        </is>
      </c>
      <c r="E21" s="22" t="inlineStr">
        <is>
          <t>Адаменко Олесь</t>
        </is>
      </c>
      <c r="F21" s="22" t="inlineStr">
        <is>
          <t>Створення нового договору</t>
        </is>
      </c>
      <c r="G21" s="22" t="inlineStr">
        <is>
          <t>Робота по продовженню інуючого договру</t>
        </is>
      </c>
      <c r="H21" s="23" t="n">
        <v>0</v>
      </c>
      <c r="I21" s="23" t="n">
        <v>0.25</v>
      </c>
      <c r="J21" s="23">
        <f>I21-H21</f>
        <v/>
      </c>
      <c r="K21" s="22" t="inlineStr">
        <is>
          <t>безкоштовно (виставлено 0)</t>
        </is>
      </c>
      <c r="L21" s="24">
        <f>INDEX(Ставки!$C$2:$C$44,MATCH(D21,Ставки!$A$2:$A$44,0))</f>
        <v/>
      </c>
      <c r="M21" s="24">
        <f>J21*L21</f>
        <v/>
      </c>
      <c r="N21" s="22" t="inlineStr"/>
    </row>
    <row r="22">
      <c r="A22" s="22" t="n">
        <v>20746</v>
      </c>
      <c r="B22" s="22" t="inlineStr">
        <is>
          <t>2024-01-26</t>
        </is>
      </c>
      <c r="C22" s="22" t="inlineStr">
        <is>
          <t>2024</t>
        </is>
      </c>
      <c r="D22" s="22" t="inlineStr">
        <is>
          <t>2024-01</t>
        </is>
      </c>
      <c r="E22" s="22" t="inlineStr">
        <is>
          <t>Адаменко Олесь</t>
        </is>
      </c>
      <c r="F22" s="22" t="inlineStr">
        <is>
          <t>Допрацювання: Необхіний модуль Документи</t>
        </is>
      </c>
      <c r="G22" s="22" t="inlineStr">
        <is>
          <t>Пошук готових рішень в базі додатків</t>
        </is>
      </c>
      <c r="H22" s="23" t="n">
        <v>1</v>
      </c>
      <c r="I22" s="23" t="n">
        <v>1.0167</v>
      </c>
      <c r="J22" s="23">
        <f>I22-H22</f>
        <v/>
      </c>
      <c r="K22" s="22" t="inlineStr">
        <is>
          <t>частково виставлено</t>
        </is>
      </c>
      <c r="L22" s="24">
        <f>INDEX(Ставки!$C$2:$C$44,MATCH(D22,Ставки!$A$2:$A$44,0))</f>
        <v/>
      </c>
      <c r="M22" s="24">
        <f>J22*L22</f>
        <v/>
      </c>
      <c r="N22" s="22" t="inlineStr"/>
    </row>
    <row r="23">
      <c r="A23" s="22" t="n">
        <v>20725</v>
      </c>
      <c r="B23" s="22" t="inlineStr">
        <is>
          <t>2024-01-29</t>
        </is>
      </c>
      <c r="C23" s="22" t="inlineStr">
        <is>
          <t>2024</t>
        </is>
      </c>
      <c r="D23" s="22" t="inlineStr">
        <is>
          <t>2024-01</t>
        </is>
      </c>
      <c r="E23" s="22" t="inlineStr">
        <is>
          <t>Адаменко Олесь</t>
        </is>
      </c>
      <c r="F23" s="22" t="inlineStr">
        <is>
          <t>Допрацювання: Інофрмування по назві проекту , а не по Sales Order</t>
        </is>
      </c>
      <c r="G23" s="22" t="inlineStr">
        <is>
          <t>ТЗ + задачі</t>
        </is>
      </c>
      <c r="H23" s="23" t="n">
        <v>0.25</v>
      </c>
      <c r="I23" s="23" t="n">
        <v>0.5333</v>
      </c>
      <c r="J23" s="23">
        <f>I23-H23</f>
        <v/>
      </c>
      <c r="K23" s="22" t="inlineStr">
        <is>
          <t>частково виставлено</t>
        </is>
      </c>
      <c r="L23" s="24">
        <f>INDEX(Ставки!$C$2:$C$44,MATCH(D23,Ставки!$A$2:$A$44,0))</f>
        <v/>
      </c>
      <c r="M23" s="24">
        <f>J23*L23</f>
        <v/>
      </c>
      <c r="N23" s="22" t="inlineStr"/>
    </row>
    <row r="24">
      <c r="A24" s="22" t="n">
        <v>20726</v>
      </c>
      <c r="B24" s="22" t="inlineStr">
        <is>
          <t>2024-01-29</t>
        </is>
      </c>
      <c r="C24" s="22" t="inlineStr">
        <is>
          <t>2024</t>
        </is>
      </c>
      <c r="D24" s="22" t="inlineStr">
        <is>
          <t>2024-01</t>
        </is>
      </c>
      <c r="E24" s="22" t="inlineStr">
        <is>
          <t>Адаменко Олесь</t>
        </is>
      </c>
      <c r="F24" s="22" t="inlineStr">
        <is>
          <t>Створення нового договору</t>
        </is>
      </c>
      <c r="G24" s="22" t="inlineStr">
        <is>
          <t>Робота по продовженню інуючого договору</t>
        </is>
      </c>
      <c r="H24" s="23" t="n">
        <v>0</v>
      </c>
      <c r="I24" s="23" t="n">
        <v>0.1333</v>
      </c>
      <c r="J24" s="23">
        <f>I24-H24</f>
        <v/>
      </c>
      <c r="K24" s="22" t="inlineStr">
        <is>
          <t>безкоштовно (виставлено 0)</t>
        </is>
      </c>
      <c r="L24" s="24">
        <f>INDEX(Ставки!$C$2:$C$44,MATCH(D24,Ставки!$A$2:$A$44,0))</f>
        <v/>
      </c>
      <c r="M24" s="24">
        <f>J24*L24</f>
        <v/>
      </c>
      <c r="N24" s="22" t="inlineStr"/>
    </row>
    <row r="25">
      <c r="A25" s="22" t="n">
        <v>20761</v>
      </c>
      <c r="B25" s="22" t="inlineStr">
        <is>
          <t>2024-01-29</t>
        </is>
      </c>
      <c r="C25" s="22" t="inlineStr">
        <is>
          <t>2024</t>
        </is>
      </c>
      <c r="D25" s="22" t="inlineStr">
        <is>
          <t>2024-01</t>
        </is>
      </c>
      <c r="E25" s="22" t="inlineStr">
        <is>
          <t>Адаменко Олесь</t>
        </is>
      </c>
      <c r="F25" s="22" t="inlineStr">
        <is>
          <t>Допрацювання: полегшити процес планування завантаження працвників</t>
        </is>
      </c>
      <c r="G25" s="22" t="inlineStr">
        <is>
          <t>Оцінка роботи модулю. Переиска з Розробниками</t>
        </is>
      </c>
      <c r="H25" s="23" t="n">
        <v>1</v>
      </c>
      <c r="I25" s="23" t="n">
        <v>1.0833</v>
      </c>
      <c r="J25" s="23">
        <f>I25-H25</f>
        <v/>
      </c>
      <c r="K25" s="22" t="inlineStr">
        <is>
          <t>частково виставлено</t>
        </is>
      </c>
      <c r="L25" s="24">
        <f>INDEX(Ставки!$C$2:$C$44,MATCH(D25,Ставки!$A$2:$A$44,0))</f>
        <v/>
      </c>
      <c r="M25" s="24">
        <f>J25*L25</f>
        <v/>
      </c>
      <c r="N25" s="22" t="inlineStr"/>
    </row>
    <row r="26">
      <c r="A26" s="22" t="n">
        <v>20762</v>
      </c>
      <c r="B26" s="22" t="inlineStr">
        <is>
          <t>2024-01-29</t>
        </is>
      </c>
      <c r="C26" s="22" t="inlineStr">
        <is>
          <t>2024</t>
        </is>
      </c>
      <c r="D26" s="22" t="inlineStr">
        <is>
          <t>2024-01</t>
        </is>
      </c>
      <c r="E26" s="22" t="inlineStr">
        <is>
          <t>Адаменко Олесь</t>
        </is>
      </c>
      <c r="F26" s="22" t="inlineStr">
        <is>
          <t>Допрацювання: Необхіний модуль Документи</t>
        </is>
      </c>
      <c r="G26" s="22" t="inlineStr">
        <is>
          <t>Розбір функціоналу. Переписка з розробником.</t>
        </is>
      </c>
      <c r="H26" s="23" t="n">
        <v>1</v>
      </c>
      <c r="I26" s="23" t="n">
        <v>1.2</v>
      </c>
      <c r="J26" s="23">
        <f>I26-H26</f>
        <v/>
      </c>
      <c r="K26" s="22" t="inlineStr">
        <is>
          <t>частково виставлено</t>
        </is>
      </c>
      <c r="L26" s="24">
        <f>INDEX(Ставки!$C$2:$C$44,MATCH(D26,Ставки!$A$2:$A$44,0))</f>
        <v/>
      </c>
      <c r="M26" s="24">
        <f>J26*L26</f>
        <v/>
      </c>
      <c r="N26" s="22" t="inlineStr"/>
    </row>
    <row r="27">
      <c r="A27" s="22" t="n">
        <v>20799</v>
      </c>
      <c r="B27" s="22" t="inlineStr">
        <is>
          <t>2024-01-30</t>
        </is>
      </c>
      <c r="C27" s="22" t="inlineStr">
        <is>
          <t>2024</t>
        </is>
      </c>
      <c r="D27" s="22" t="inlineStr">
        <is>
          <t>2024-01</t>
        </is>
      </c>
      <c r="E27" s="22" t="inlineStr">
        <is>
          <t>Адаменко Олесь</t>
        </is>
      </c>
      <c r="F27" s="22" t="inlineStr">
        <is>
          <t>Проблема: зникають табель по задачі</t>
        </is>
      </c>
      <c r="G27" s="22" t="inlineStr">
        <is>
          <t>Розбір проблеми, комунікація, перегляд  логів</t>
        </is>
      </c>
      <c r="H27" s="23" t="n">
        <v>1</v>
      </c>
      <c r="I27" s="23" t="n">
        <v>1.05</v>
      </c>
      <c r="J27" s="23">
        <f>I27-H27</f>
        <v/>
      </c>
      <c r="K27" s="22" t="inlineStr">
        <is>
          <t>частково виставлено</t>
        </is>
      </c>
      <c r="L27" s="24">
        <f>INDEX(Ставки!$C$2:$C$44,MATCH(D27,Ставки!$A$2:$A$44,0))</f>
        <v/>
      </c>
      <c r="M27" s="24">
        <f>J27*L27</f>
        <v/>
      </c>
      <c r="N27" s="22" t="inlineStr"/>
    </row>
    <row r="28">
      <c r="A28" s="22" t="n">
        <v>20800</v>
      </c>
      <c r="B28" s="22" t="inlineStr">
        <is>
          <t>2024-01-30</t>
        </is>
      </c>
      <c r="C28" s="22" t="inlineStr">
        <is>
          <t>2024</t>
        </is>
      </c>
      <c r="D28" s="22" t="inlineStr">
        <is>
          <t>2024-01</t>
        </is>
      </c>
      <c r="E28" s="22" t="inlineStr">
        <is>
          <t>Пусташинський Юрій</t>
        </is>
      </c>
      <c r="F28" s="22" t="inlineStr">
        <is>
          <t>Проблема: зникають табель по задачі</t>
        </is>
      </c>
      <c r="G28" s="22" t="inlineStr">
        <is>
          <t>Перегляд логів, пошук проблеми</t>
        </is>
      </c>
      <c r="H28" s="23" t="n">
        <v>0.25</v>
      </c>
      <c r="I28" s="23" t="n">
        <v>0.2667</v>
      </c>
      <c r="J28" s="23">
        <f>I28-H28</f>
        <v/>
      </c>
      <c r="K28" s="22" t="inlineStr">
        <is>
          <t>частково виставлено</t>
        </is>
      </c>
      <c r="L28" s="24">
        <f>INDEX(Ставки!$C$2:$C$44,MATCH(D28,Ставки!$A$2:$A$44,0))</f>
        <v/>
      </c>
      <c r="M28" s="24">
        <f>J28*L28</f>
        <v/>
      </c>
      <c r="N28" s="22" t="inlineStr"/>
    </row>
    <row r="29">
      <c r="A29" s="22" t="n">
        <v>20845</v>
      </c>
      <c r="B29" s="22" t="inlineStr">
        <is>
          <t>2024-01-30</t>
        </is>
      </c>
      <c r="C29" s="22" t="inlineStr">
        <is>
          <t>2024</t>
        </is>
      </c>
      <c r="D29" s="22" t="inlineStr">
        <is>
          <t>2024-01</t>
        </is>
      </c>
      <c r="E29" s="22" t="inlineStr">
        <is>
          <t>Борецький Андрій</t>
        </is>
      </c>
      <c r="F29" s="22" t="inlineStr">
        <is>
          <t>Допрацювання: Інофрмування по назві проекту , а не по Sales Order</t>
        </is>
      </c>
      <c r="G29" s="22" t="inlineStr">
        <is>
          <t>Підготовка до оцінки. Опис в коментарі</t>
        </is>
      </c>
      <c r="H29" s="23" t="n">
        <v>1</v>
      </c>
      <c r="I29" s="23" t="n">
        <v>8</v>
      </c>
      <c r="J29" s="23">
        <f>I29-H29</f>
        <v/>
      </c>
      <c r="K29" s="22" t="inlineStr">
        <is>
          <t>частково виставлено</t>
        </is>
      </c>
      <c r="L29" s="24">
        <f>INDEX(Ставки!$C$2:$C$44,MATCH(D29,Ставки!$A$2:$A$44,0))</f>
        <v/>
      </c>
      <c r="M29" s="24">
        <f>J29*L29</f>
        <v/>
      </c>
      <c r="N29" s="22" t="inlineStr"/>
    </row>
    <row r="30">
      <c r="A30" s="22" t="n">
        <v>20902</v>
      </c>
      <c r="B30" s="22" t="inlineStr">
        <is>
          <t>2024-01-30</t>
        </is>
      </c>
      <c r="C30" s="22" t="inlineStr">
        <is>
          <t>2024</t>
        </is>
      </c>
      <c r="D30" s="22" t="inlineStr">
        <is>
          <t>2024-01</t>
        </is>
      </c>
      <c r="E30" s="22" t="inlineStr">
        <is>
          <t>Адаменко Олесь</t>
        </is>
      </c>
      <c r="F30" s="22" t="inlineStr">
        <is>
          <t>Проблема: з оновленням табеля працівника</t>
        </is>
      </c>
      <c r="G30" s="22" t="inlineStr">
        <is>
          <t>Аналіз проблеми</t>
        </is>
      </c>
      <c r="H30" s="23" t="n">
        <v>0</v>
      </c>
      <c r="I30" s="23" t="n">
        <v>1</v>
      </c>
      <c r="J30" s="23">
        <f>I30-H30</f>
        <v/>
      </c>
      <c r="K30" s="22" t="inlineStr">
        <is>
          <t>безкоштовно (виставлено 0)</t>
        </is>
      </c>
      <c r="L30" s="24">
        <f>INDEX(Ставки!$C$2:$C$44,MATCH(D30,Ставки!$A$2:$A$44,0))</f>
        <v/>
      </c>
      <c r="M30" s="24">
        <f>J30*L30</f>
        <v/>
      </c>
      <c r="N30" s="22" t="inlineStr"/>
    </row>
    <row r="31">
      <c r="A31" s="22" t="n">
        <v>20899</v>
      </c>
      <c r="B31" s="22" t="inlineStr">
        <is>
          <t>2024-01-31</t>
        </is>
      </c>
      <c r="C31" s="22" t="inlineStr">
        <is>
          <t>2024</t>
        </is>
      </c>
      <c r="D31" s="22" t="inlineStr">
        <is>
          <t>2024-01</t>
        </is>
      </c>
      <c r="E31" s="22" t="inlineStr">
        <is>
          <t>Пусташинський Юрій</t>
        </is>
      </c>
      <c r="F31" s="22" t="inlineStr">
        <is>
          <t>Проблеми: пропадають задачі від працівника</t>
        </is>
      </c>
      <c r="G31" s="22" t="inlineStr">
        <is>
          <t>Пегляд історії задач Марини</t>
        </is>
      </c>
      <c r="H31" s="23" t="n">
        <v>0.25</v>
      </c>
      <c r="I31" s="23" t="n">
        <v>0.35</v>
      </c>
      <c r="J31" s="23">
        <f>I31-H31</f>
        <v/>
      </c>
      <c r="K31" s="22" t="inlineStr">
        <is>
          <t>частково виставлено</t>
        </is>
      </c>
      <c r="L31" s="24">
        <f>INDEX(Ставки!$C$2:$C$44,MATCH(D31,Ставки!$A$2:$A$44,0))</f>
        <v/>
      </c>
      <c r="M31" s="24">
        <f>J31*L31</f>
        <v/>
      </c>
      <c r="N31" s="22" t="inlineStr"/>
    </row>
    <row r="32">
      <c r="A32" s="22" t="n">
        <v>20904</v>
      </c>
      <c r="B32" s="22" t="inlineStr">
        <is>
          <t>2024-01-31</t>
        </is>
      </c>
      <c r="C32" s="22" t="inlineStr">
        <is>
          <t>2024</t>
        </is>
      </c>
      <c r="D32" s="22" t="inlineStr">
        <is>
          <t>2024-01</t>
        </is>
      </c>
      <c r="E32" s="22" t="inlineStr">
        <is>
          <t>Адаменко Олесь</t>
        </is>
      </c>
      <c r="F32" s="22" t="inlineStr">
        <is>
          <t>Проблема: з оновленням табеля працівника</t>
        </is>
      </c>
      <c r="G32" s="22" t="inlineStr">
        <is>
          <t>Аналіз проблеми</t>
        </is>
      </c>
      <c r="H32" s="23" t="n">
        <v>0</v>
      </c>
      <c r="I32" s="23" t="n">
        <v>0.3167</v>
      </c>
      <c r="J32" s="23">
        <f>I32-H32</f>
        <v/>
      </c>
      <c r="K32" s="22" t="inlineStr">
        <is>
          <t>безкоштовно (виставлено 0)</t>
        </is>
      </c>
      <c r="L32" s="24">
        <f>INDEX(Ставки!$C$2:$C$44,MATCH(D32,Ставки!$A$2:$A$44,0))</f>
        <v/>
      </c>
      <c r="M32" s="24">
        <f>J32*L32</f>
        <v/>
      </c>
      <c r="N32" s="22" t="inlineStr"/>
    </row>
    <row r="33">
      <c r="A33" s="22" t="n">
        <v>21000</v>
      </c>
      <c r="B33" s="22" t="inlineStr">
        <is>
          <t>2024-02-01</t>
        </is>
      </c>
      <c r="C33" s="22" t="inlineStr">
        <is>
          <t>2024</t>
        </is>
      </c>
      <c r="D33" s="22" t="inlineStr">
        <is>
          <t>2024-02</t>
        </is>
      </c>
      <c r="E33" s="22" t="inlineStr">
        <is>
          <t>Адаменко Олесь</t>
        </is>
      </c>
      <c r="F33" s="22" t="inlineStr">
        <is>
          <t>Щотижнева зустріч з замовником 1.02.24-14.02.24</t>
        </is>
      </c>
      <c r="G33" s="22" t="inlineStr">
        <is>
          <t>Щотижнева зустріч</t>
        </is>
      </c>
      <c r="H33" s="23" t="n">
        <v>1</v>
      </c>
      <c r="I33" s="23" t="n">
        <v>1.1</v>
      </c>
      <c r="J33" s="23">
        <f>I33-H33</f>
        <v/>
      </c>
      <c r="K33" s="22" t="inlineStr">
        <is>
          <t>частково виставлено</t>
        </is>
      </c>
      <c r="L33" s="24">
        <f>INDEX(Ставки!$C$2:$C$44,MATCH(D33,Ставки!$A$2:$A$44,0))</f>
        <v/>
      </c>
      <c r="M33" s="24">
        <f>J33*L33</f>
        <v/>
      </c>
      <c r="N33" s="22" t="inlineStr"/>
    </row>
    <row r="34">
      <c r="A34" s="22" t="n">
        <v>21008</v>
      </c>
      <c r="B34" s="22" t="inlineStr">
        <is>
          <t>2024-02-01</t>
        </is>
      </c>
      <c r="C34" s="22" t="inlineStr">
        <is>
          <t>2024</t>
        </is>
      </c>
      <c r="D34" s="22" t="inlineStr">
        <is>
          <t>2024-02</t>
        </is>
      </c>
      <c r="E34" s="22" t="inlineStr">
        <is>
          <t>Адаменко Олесь</t>
        </is>
      </c>
      <c r="F34" s="22" t="inlineStr">
        <is>
          <t>Помилка: Помилка при перенесенні задачі з проекту в проект.</t>
        </is>
      </c>
      <c r="G34" s="22" t="inlineStr">
        <is>
          <t>Аналіз</t>
        </is>
      </c>
      <c r="H34" s="23" t="n">
        <v>0</v>
      </c>
      <c r="I34" s="23" t="n">
        <v>0.6167</v>
      </c>
      <c r="J34" s="23">
        <f>I34-H34</f>
        <v/>
      </c>
      <c r="K34" s="22" t="inlineStr">
        <is>
          <t>безкоштовно (виставлено 0)</t>
        </is>
      </c>
      <c r="L34" s="24">
        <f>INDEX(Ставки!$C$2:$C$44,MATCH(D34,Ставки!$A$2:$A$44,0))</f>
        <v/>
      </c>
      <c r="M34" s="24">
        <f>J34*L34</f>
        <v/>
      </c>
      <c r="N34" s="22" t="inlineStr"/>
    </row>
    <row r="35">
      <c r="A35" s="22" t="n">
        <v>21009</v>
      </c>
      <c r="B35" s="22" t="inlineStr">
        <is>
          <t>2024-02-01</t>
        </is>
      </c>
      <c r="C35" s="22" t="inlineStr">
        <is>
          <t>2024</t>
        </is>
      </c>
      <c r="D35" s="22" t="inlineStr">
        <is>
          <t>2024-02</t>
        </is>
      </c>
      <c r="E35" s="22" t="inlineStr">
        <is>
          <t>Пусташинський Юрій</t>
        </is>
      </c>
      <c r="F35" s="22" t="inlineStr">
        <is>
          <t>Помилка: Помилка при перенесенні задачі з проекту в проект.</t>
        </is>
      </c>
      <c r="G35" s="22" t="inlineStr">
        <is>
          <t>Усунення помилки</t>
        </is>
      </c>
      <c r="H35" s="23" t="n">
        <v>0</v>
      </c>
      <c r="I35" s="23" t="n">
        <v>0.5667</v>
      </c>
      <c r="J35" s="23">
        <f>I35-H35</f>
        <v/>
      </c>
      <c r="K35" s="22" t="inlineStr">
        <is>
          <t>безкоштовно (виставлено 0)</t>
        </is>
      </c>
      <c r="L35" s="24">
        <f>INDEX(Ставки!$C$2:$C$44,MATCH(D35,Ставки!$A$2:$A$44,0))</f>
        <v/>
      </c>
      <c r="M35" s="24">
        <f>J35*L35</f>
        <v/>
      </c>
      <c r="N35" s="22" t="inlineStr"/>
    </row>
    <row r="36">
      <c r="A36" s="22" t="n">
        <v>21137</v>
      </c>
      <c r="B36" s="22" t="inlineStr">
        <is>
          <t>2024-02-01</t>
        </is>
      </c>
      <c r="C36" s="22" t="inlineStr">
        <is>
          <t>2024</t>
        </is>
      </c>
      <c r="D36" s="22" t="inlineStr">
        <is>
          <t>2024-02</t>
        </is>
      </c>
      <c r="E36" s="22" t="inlineStr">
        <is>
          <t>Адаменко Олесь</t>
        </is>
      </c>
      <c r="F36" s="22" t="inlineStr">
        <is>
          <t>Щотижнева зустріч з замовником 1.02.24-14.02.24</t>
        </is>
      </c>
      <c r="G36" s="22" t="inlineStr">
        <is>
          <t>Писилання + інформація</t>
        </is>
      </c>
      <c r="H36" s="23" t="n">
        <v>0.5</v>
      </c>
      <c r="I36" s="23" t="n">
        <v>0.6833</v>
      </c>
      <c r="J36" s="23">
        <f>I36-H36</f>
        <v/>
      </c>
      <c r="K36" s="22" t="inlineStr">
        <is>
          <t>частково виставлено</t>
        </is>
      </c>
      <c r="L36" s="24">
        <f>INDEX(Ставки!$C$2:$C$44,MATCH(D36,Ставки!$A$2:$A$44,0))</f>
        <v/>
      </c>
      <c r="M36" s="24">
        <f>J36*L36</f>
        <v/>
      </c>
      <c r="N36" s="22" t="inlineStr"/>
    </row>
    <row r="37">
      <c r="A37" s="22" t="n">
        <v>21138</v>
      </c>
      <c r="B37" s="22" t="inlineStr">
        <is>
          <t>2024-02-01</t>
        </is>
      </c>
      <c r="C37" s="22" t="inlineStr">
        <is>
          <t>2024</t>
        </is>
      </c>
      <c r="D37" s="22" t="inlineStr">
        <is>
          <t>2024-02</t>
        </is>
      </c>
      <c r="E37" s="22" t="inlineStr">
        <is>
          <t>Адаменко Олесь</t>
        </is>
      </c>
      <c r="F37" s="22" t="inlineStr">
        <is>
          <t>Щотижнева зустріч з замовником 1.02.24-14.02.24</t>
        </is>
      </c>
      <c r="G37" s="22" t="inlineStr">
        <is>
          <t>Формування звіту</t>
        </is>
      </c>
      <c r="H37" s="23" t="n">
        <v>0.5</v>
      </c>
      <c r="I37" s="23" t="n">
        <v>0.6667</v>
      </c>
      <c r="J37" s="23">
        <f>I37-H37</f>
        <v/>
      </c>
      <c r="K37" s="22" t="inlineStr">
        <is>
          <t>частково виставлено</t>
        </is>
      </c>
      <c r="L37" s="24">
        <f>INDEX(Ставки!$C$2:$C$44,MATCH(D37,Ставки!$A$2:$A$44,0))</f>
        <v/>
      </c>
      <c r="M37" s="24">
        <f>J37*L37</f>
        <v/>
      </c>
      <c r="N37" s="22" t="inlineStr"/>
    </row>
    <row r="38">
      <c r="A38" s="22" t="n">
        <v>21024</v>
      </c>
      <c r="B38" s="22" t="inlineStr">
        <is>
          <t>2024-02-05</t>
        </is>
      </c>
      <c r="C38" s="22" t="inlineStr">
        <is>
          <t>2024</t>
        </is>
      </c>
      <c r="D38" s="22" t="inlineStr">
        <is>
          <t>2024-02</t>
        </is>
      </c>
      <c r="E38" s="22" t="inlineStr">
        <is>
          <t>Адаменко Олесь</t>
        </is>
      </c>
      <c r="F38" s="22" t="inlineStr">
        <is>
          <t>Помилка: при спробі створити рахунок</t>
        </is>
      </c>
      <c r="G38" s="22" t="inlineStr">
        <is>
          <t>тестування</t>
        </is>
      </c>
      <c r="H38" s="23" t="n">
        <v>0</v>
      </c>
      <c r="I38" s="23" t="n">
        <v>0.1333</v>
      </c>
      <c r="J38" s="23">
        <f>I38-H38</f>
        <v/>
      </c>
      <c r="K38" s="22" t="inlineStr">
        <is>
          <t>безкоштовно (виставлено 0)</t>
        </is>
      </c>
      <c r="L38" s="24">
        <f>INDEX(Ставки!$C$2:$C$44,MATCH(D38,Ставки!$A$2:$A$44,0))</f>
        <v/>
      </c>
      <c r="M38" s="24">
        <f>J38*L38</f>
        <v/>
      </c>
      <c r="N38" s="22" t="inlineStr"/>
    </row>
    <row r="39">
      <c r="A39" s="22" t="n">
        <v>21025</v>
      </c>
      <c r="B39" s="22" t="inlineStr">
        <is>
          <t>2024-02-05</t>
        </is>
      </c>
      <c r="C39" s="22" t="inlineStr">
        <is>
          <t>2024</t>
        </is>
      </c>
      <c r="D39" s="22" t="inlineStr">
        <is>
          <t>2024-02</t>
        </is>
      </c>
      <c r="E39" s="22" t="inlineStr">
        <is>
          <t>Адаменко Олесь</t>
        </is>
      </c>
      <c r="F39" s="22" t="inlineStr">
        <is>
          <t>Помилка: при спробі створити рахунок</t>
        </is>
      </c>
      <c r="G39" s="22" t="inlineStr">
        <is>
          <t>моделювання проблеми та її опис</t>
        </is>
      </c>
      <c r="H39" s="23" t="n">
        <v>0</v>
      </c>
      <c r="I39" s="23" t="n">
        <v>0.7333</v>
      </c>
      <c r="J39" s="23">
        <f>I39-H39</f>
        <v/>
      </c>
      <c r="K39" s="22" t="inlineStr">
        <is>
          <t>безкоштовно (виставлено 0)</t>
        </is>
      </c>
      <c r="L39" s="24">
        <f>INDEX(Ставки!$C$2:$C$44,MATCH(D39,Ставки!$A$2:$A$44,0))</f>
        <v/>
      </c>
      <c r="M39" s="24">
        <f>J39*L39</f>
        <v/>
      </c>
      <c r="N39" s="22" t="inlineStr"/>
    </row>
    <row r="40">
      <c r="A40" s="22" t="n">
        <v>21158</v>
      </c>
      <c r="B40" s="22" t="inlineStr">
        <is>
          <t>2024-02-05</t>
        </is>
      </c>
      <c r="C40" s="22" t="inlineStr">
        <is>
          <t>2024</t>
        </is>
      </c>
      <c r="D40" s="22" t="inlineStr">
        <is>
          <t>2024-02</t>
        </is>
      </c>
      <c r="E40" s="22" t="inlineStr">
        <is>
          <t>Адаменко Олесь</t>
        </is>
      </c>
      <c r="F40" s="22" t="inlineStr">
        <is>
          <t>Встановити усі необхідні модулі Бух обліку, по аналогії з проектом Старсвіт.</t>
        </is>
      </c>
      <c r="G40" s="22" t="inlineStr">
        <is>
          <t>Підготовка бази</t>
        </is>
      </c>
      <c r="H40" s="23" t="n">
        <v>0.25</v>
      </c>
      <c r="I40" s="23" t="n">
        <v>0.3333</v>
      </c>
      <c r="J40" s="23">
        <f>I40-H40</f>
        <v/>
      </c>
      <c r="K40" s="22" t="inlineStr">
        <is>
          <t>частково виставлено</t>
        </is>
      </c>
      <c r="L40" s="24">
        <f>INDEX(Ставки!$C$2:$C$44,MATCH(D40,Ставки!$A$2:$A$44,0))</f>
        <v/>
      </c>
      <c r="M40" s="24">
        <f>J40*L40</f>
        <v/>
      </c>
      <c r="N40" s="22" t="inlineStr"/>
    </row>
    <row r="41">
      <c r="A41" s="22" t="n">
        <v>21161</v>
      </c>
      <c r="B41" s="22" t="inlineStr">
        <is>
          <t>2024-02-05</t>
        </is>
      </c>
      <c r="C41" s="22" t="inlineStr">
        <is>
          <t>2024</t>
        </is>
      </c>
      <c r="D41" s="22" t="inlineStr">
        <is>
          <t>2024-02</t>
        </is>
      </c>
      <c r="E41" s="22" t="inlineStr">
        <is>
          <t>Адаменко Олесь</t>
        </is>
      </c>
      <c r="F41" s="22" t="inlineStr">
        <is>
          <t>Проблеми роботи додатку Ганта</t>
        </is>
      </c>
      <c r="G41" s="22" t="inlineStr">
        <is>
          <t>Комунікація з розробником.</t>
        </is>
      </c>
      <c r="H41" s="23" t="n">
        <v>1</v>
      </c>
      <c r="I41" s="23" t="n">
        <v>1.0833</v>
      </c>
      <c r="J41" s="23">
        <f>I41-H41</f>
        <v/>
      </c>
      <c r="K41" s="22" t="inlineStr">
        <is>
          <t>частково виставлено</t>
        </is>
      </c>
      <c r="L41" s="24">
        <f>INDEX(Ставки!$C$2:$C$44,MATCH(D41,Ставки!$A$2:$A$44,0))</f>
        <v/>
      </c>
      <c r="M41" s="24">
        <f>J41*L41</f>
        <v/>
      </c>
      <c r="N41" s="22" t="inlineStr"/>
    </row>
    <row r="42">
      <c r="A42" s="22" t="n">
        <v>21162</v>
      </c>
      <c r="B42" s="22" t="inlineStr">
        <is>
          <t>2024-02-05</t>
        </is>
      </c>
      <c r="C42" s="22" t="inlineStr">
        <is>
          <t>2024</t>
        </is>
      </c>
      <c r="D42" s="22" t="inlineStr">
        <is>
          <t>2024-02</t>
        </is>
      </c>
      <c r="E42" s="22" t="inlineStr">
        <is>
          <t>Адаменко Олесь</t>
        </is>
      </c>
      <c r="F42" s="22" t="inlineStr">
        <is>
          <t>Допрацювання: Необхіний модуль Документи</t>
        </is>
      </c>
      <c r="G42" s="22" t="inlineStr">
        <is>
          <t>Пошук аналогів та кращих рішень. Комунікація з розробником</t>
        </is>
      </c>
      <c r="H42" s="23" t="n">
        <v>0.75</v>
      </c>
      <c r="I42" s="23" t="n">
        <v>1.1</v>
      </c>
      <c r="J42" s="23">
        <f>I42-H42</f>
        <v/>
      </c>
      <c r="K42" s="22" t="inlineStr">
        <is>
          <t>частково виставлено</t>
        </is>
      </c>
      <c r="L42" s="24">
        <f>INDEX(Ставки!$C$2:$C$44,MATCH(D42,Ставки!$A$2:$A$44,0))</f>
        <v/>
      </c>
      <c r="M42" s="24">
        <f>J42*L42</f>
        <v/>
      </c>
      <c r="N42" s="22" t="inlineStr"/>
    </row>
    <row r="43">
      <c r="A43" s="22" t="n">
        <v>21056</v>
      </c>
      <c r="B43" s="22" t="inlineStr">
        <is>
          <t>2024-02-06</t>
        </is>
      </c>
      <c r="C43" s="22" t="inlineStr">
        <is>
          <t>2024</t>
        </is>
      </c>
      <c r="D43" s="22" t="inlineStr">
        <is>
          <t>2024-02</t>
        </is>
      </c>
      <c r="E43" s="22" t="inlineStr">
        <is>
          <t>Кутько Ігор</t>
        </is>
      </c>
      <c r="F43" s="22" t="inlineStr">
        <is>
          <t>Встановити усі необхідні модулі Бух обліку, по аналогії з проектом Старсвіт.</t>
        </is>
      </c>
      <c r="G43" s="22" t="inlineStr">
        <is>
          <t>Створено бекап робочої бази, відновлено демо-базу з копії робочої, підключено модулі до репозиторію, підключено модулі до серверу, встановлено модулі</t>
        </is>
      </c>
      <c r="H43" s="23" t="n">
        <v>1</v>
      </c>
      <c r="I43" s="23" t="n">
        <v>1.5</v>
      </c>
      <c r="J43" s="23">
        <f>I43-H43</f>
        <v/>
      </c>
      <c r="K43" s="22" t="inlineStr">
        <is>
          <t>частково виставлено</t>
        </is>
      </c>
      <c r="L43" s="24">
        <f>INDEX(Ставки!$C$2:$C$44,MATCH(D43,Ставки!$A$2:$A$44,0))</f>
        <v/>
      </c>
      <c r="M43" s="24">
        <f>J43*L43</f>
        <v/>
      </c>
      <c r="N43" s="22" t="inlineStr"/>
    </row>
    <row r="44">
      <c r="A44" s="22" t="n">
        <v>21271</v>
      </c>
      <c r="B44" s="22" t="inlineStr">
        <is>
          <t>2024-02-12</t>
        </is>
      </c>
      <c r="C44" s="22" t="inlineStr">
        <is>
          <t>2024</t>
        </is>
      </c>
      <c r="D44" s="22" t="inlineStr">
        <is>
          <t>2024-02</t>
        </is>
      </c>
      <c r="E44" s="22" t="inlineStr">
        <is>
          <t>Адаменко Олесь</t>
        </is>
      </c>
      <c r="F44" s="22" t="inlineStr">
        <is>
          <t>Побажання: показати як відобразити години витрачені на задчі кожним працвником</t>
        </is>
      </c>
      <c r="G44" s="22" t="inlineStr">
        <is>
          <t>Записати відео</t>
        </is>
      </c>
      <c r="H44" s="23" t="n">
        <v>0.25</v>
      </c>
      <c r="I44" s="23" t="n">
        <v>0.3667</v>
      </c>
      <c r="J44" s="23">
        <f>I44-H44</f>
        <v/>
      </c>
      <c r="K44" s="22" t="inlineStr">
        <is>
          <t>частково виставлено</t>
        </is>
      </c>
      <c r="L44" s="24">
        <f>INDEX(Ставки!$C$2:$C$44,MATCH(D44,Ставки!$A$2:$A$44,0))</f>
        <v/>
      </c>
      <c r="M44" s="24">
        <f>J44*L44</f>
        <v/>
      </c>
      <c r="N44" s="22" t="inlineStr"/>
    </row>
    <row r="45">
      <c r="A45" s="22" t="n">
        <v>21319</v>
      </c>
      <c r="B45" s="22" t="inlineStr">
        <is>
          <t>2024-02-12</t>
        </is>
      </c>
      <c r="C45" s="22" t="inlineStr">
        <is>
          <t>2024</t>
        </is>
      </c>
      <c r="D45" s="22" t="inlineStr">
        <is>
          <t>2024-02</t>
        </is>
      </c>
      <c r="E45" s="22" t="inlineStr">
        <is>
          <t>Адаменко Олесь</t>
        </is>
      </c>
      <c r="F45" s="22" t="inlineStr">
        <is>
          <t>Побажання: Інструкція з налаштуванням повідомлень від Odoo</t>
        </is>
      </c>
      <c r="G45" s="22" t="inlineStr">
        <is>
          <t>тестування на різних браузерах</t>
        </is>
      </c>
      <c r="H45" s="23" t="n">
        <v>0.25</v>
      </c>
      <c r="I45" s="23" t="n">
        <v>0.3</v>
      </c>
      <c r="J45" s="23">
        <f>I45-H45</f>
        <v/>
      </c>
      <c r="K45" s="22" t="inlineStr">
        <is>
          <t>частково виставлено</t>
        </is>
      </c>
      <c r="L45" s="24">
        <f>INDEX(Ставки!$C$2:$C$44,MATCH(D45,Ставки!$A$2:$A$44,0))</f>
        <v/>
      </c>
      <c r="M45" s="24">
        <f>J45*L45</f>
        <v/>
      </c>
      <c r="N45" s="22" t="inlineStr"/>
    </row>
    <row r="46">
      <c r="A46" s="22" t="n">
        <v>21314</v>
      </c>
      <c r="B46" s="22" t="inlineStr">
        <is>
          <t>2024-02-13</t>
        </is>
      </c>
      <c r="C46" s="22" t="inlineStr">
        <is>
          <t>2024</t>
        </is>
      </c>
      <c r="D46" s="22" t="inlineStr">
        <is>
          <t>2024-02</t>
        </is>
      </c>
      <c r="E46" s="22" t="inlineStr">
        <is>
          <t>Адаменко Олесь</t>
        </is>
      </c>
      <c r="F46" s="22" t="inlineStr">
        <is>
          <t>Проблема: не вносяться дані в табель</t>
        </is>
      </c>
      <c r="G46" s="22" t="inlineStr">
        <is>
          <t>Тестування та пошук проблеми</t>
        </is>
      </c>
      <c r="H46" s="23" t="n">
        <v>0</v>
      </c>
      <c r="I46" s="23" t="n">
        <v>0.5</v>
      </c>
      <c r="J46" s="23">
        <f>I46-H46</f>
        <v/>
      </c>
      <c r="K46" s="22" t="inlineStr">
        <is>
          <t>безкоштовно (виставлено 0)</t>
        </is>
      </c>
      <c r="L46" s="24">
        <f>INDEX(Ставки!$C$2:$C$44,MATCH(D46,Ставки!$A$2:$A$44,0))</f>
        <v/>
      </c>
      <c r="M46" s="24">
        <f>J46*L46</f>
        <v/>
      </c>
      <c r="N46" s="22" t="inlineStr"/>
    </row>
    <row r="47">
      <c r="A47" s="22" t="n">
        <v>21317</v>
      </c>
      <c r="B47" s="22" t="inlineStr">
        <is>
          <t>2024-02-13</t>
        </is>
      </c>
      <c r="C47" s="22" t="inlineStr">
        <is>
          <t>2024</t>
        </is>
      </c>
      <c r="D47" s="22" t="inlineStr">
        <is>
          <t>2024-02</t>
        </is>
      </c>
      <c r="E47" s="22" t="inlineStr">
        <is>
          <t>Адаменко Олесь</t>
        </is>
      </c>
      <c r="F47" s="22" t="inlineStr">
        <is>
          <t>Проблема: не вносяться дані в табель</t>
        </is>
      </c>
      <c r="G47" s="22" t="inlineStr">
        <is>
          <t>Перебір різних варіантів налаштувань системи</t>
        </is>
      </c>
      <c r="H47" s="23" t="n">
        <v>0</v>
      </c>
      <c r="I47" s="23" t="n">
        <v>0.6833</v>
      </c>
      <c r="J47" s="23">
        <f>I47-H47</f>
        <v/>
      </c>
      <c r="K47" s="22" t="inlineStr">
        <is>
          <t>безкоштовно (виставлено 0)</t>
        </is>
      </c>
      <c r="L47" s="24">
        <f>INDEX(Ставки!$C$2:$C$44,MATCH(D47,Ставки!$A$2:$A$44,0))</f>
        <v/>
      </c>
      <c r="M47" s="24">
        <f>J47*L47</f>
        <v/>
      </c>
      <c r="N47" s="22" t="inlineStr"/>
    </row>
    <row r="48">
      <c r="A48" s="22" t="n">
        <v>21320</v>
      </c>
      <c r="B48" s="22" t="inlineStr">
        <is>
          <t>2024-02-13</t>
        </is>
      </c>
      <c r="C48" s="22" t="inlineStr">
        <is>
          <t>2024</t>
        </is>
      </c>
      <c r="D48" s="22" t="inlineStr">
        <is>
          <t>2024-02</t>
        </is>
      </c>
      <c r="E48" s="22" t="inlineStr">
        <is>
          <t>Адаменко Олесь</t>
        </is>
      </c>
      <c r="F48" s="22" t="inlineStr">
        <is>
          <t>Побажання: Інструкція з налаштуванням повідомлень від Odoo</t>
        </is>
      </c>
      <c r="G48" s="22" t="inlineStr">
        <is>
          <t>Пошук рішення по сповіщенню для тегів</t>
        </is>
      </c>
      <c r="H48" s="23" t="n">
        <v>0.5</v>
      </c>
      <c r="I48" s="23" t="n">
        <v>2.6667</v>
      </c>
      <c r="J48" s="23">
        <f>I48-H48</f>
        <v/>
      </c>
      <c r="K48" s="22" t="inlineStr">
        <is>
          <t>частково виставлено</t>
        </is>
      </c>
      <c r="L48" s="24">
        <f>INDEX(Ставки!$C$2:$C$44,MATCH(D48,Ставки!$A$2:$A$44,0))</f>
        <v/>
      </c>
      <c r="M48" s="24">
        <f>J48*L48</f>
        <v/>
      </c>
      <c r="N48" s="22" t="inlineStr"/>
    </row>
    <row r="49">
      <c r="A49" s="22" t="n">
        <v>21349</v>
      </c>
      <c r="B49" s="22" t="inlineStr">
        <is>
          <t>2024-02-14</t>
        </is>
      </c>
      <c r="C49" s="22" t="inlineStr">
        <is>
          <t>2024</t>
        </is>
      </c>
      <c r="D49" s="22" t="inlineStr">
        <is>
          <t>2024-02</t>
        </is>
      </c>
      <c r="E49" s="22" t="inlineStr">
        <is>
          <t>Адаменко Олесь</t>
        </is>
      </c>
      <c r="F49" s="22" t="inlineStr">
        <is>
          <t>Проблема: не вносяться дані в табель</t>
        </is>
      </c>
      <c r="G49" s="22" t="inlineStr">
        <is>
          <t>Тестування після виправлення</t>
        </is>
      </c>
      <c r="H49" s="23" t="n">
        <v>0</v>
      </c>
      <c r="I49" s="23" t="n">
        <v>0.5</v>
      </c>
      <c r="J49" s="23">
        <f>I49-H49</f>
        <v/>
      </c>
      <c r="K49" s="22" t="inlineStr">
        <is>
          <t>безкоштовно (виставлено 0)</t>
        </is>
      </c>
      <c r="L49" s="24">
        <f>INDEX(Ставки!$C$2:$C$44,MATCH(D49,Ставки!$A$2:$A$44,0))</f>
        <v/>
      </c>
      <c r="M49" s="24">
        <f>J49*L49</f>
        <v/>
      </c>
      <c r="N49" s="22" t="inlineStr"/>
    </row>
    <row r="50">
      <c r="A50" s="22" t="n">
        <v>21350</v>
      </c>
      <c r="B50" s="22" t="inlineStr">
        <is>
          <t>2024-02-14</t>
        </is>
      </c>
      <c r="C50" s="22" t="inlineStr">
        <is>
          <t>2024</t>
        </is>
      </c>
      <c r="D50" s="22" t="inlineStr">
        <is>
          <t>2024-02</t>
        </is>
      </c>
      <c r="E50" s="22" t="inlineStr">
        <is>
          <t>Пусташинський Юрій</t>
        </is>
      </c>
      <c r="F50" s="22" t="inlineStr">
        <is>
          <t>Проблема: не вносяться дані в табель</t>
        </is>
      </c>
      <c r="G50" s="22" t="inlineStr">
        <is>
          <t>Внесення виправлень</t>
        </is>
      </c>
      <c r="H50" s="23" t="n">
        <v>0</v>
      </c>
      <c r="I50" s="23" t="n">
        <v>0.5</v>
      </c>
      <c r="J50" s="23">
        <f>I50-H50</f>
        <v/>
      </c>
      <c r="K50" s="22" t="inlineStr">
        <is>
          <t>безкоштовно (виставлено 0)</t>
        </is>
      </c>
      <c r="L50" s="24">
        <f>INDEX(Ставки!$C$2:$C$44,MATCH(D50,Ставки!$A$2:$A$44,0))</f>
        <v/>
      </c>
      <c r="M50" s="24">
        <f>J50*L50</f>
        <v/>
      </c>
      <c r="N50" s="22" t="inlineStr"/>
    </row>
    <row r="51">
      <c r="A51" s="22" t="n">
        <v>21362</v>
      </c>
      <c r="B51" s="22" t="inlineStr">
        <is>
          <t>2024-02-14</t>
        </is>
      </c>
      <c r="C51" s="22" t="inlineStr">
        <is>
          <t>2024</t>
        </is>
      </c>
      <c r="D51" s="22" t="inlineStr">
        <is>
          <t>2024-02</t>
        </is>
      </c>
      <c r="E51" s="22" t="inlineStr">
        <is>
          <t>Адаменко Олесь</t>
        </is>
      </c>
      <c r="F51" s="22" t="inlineStr">
        <is>
          <t>Щотижнева зустріч з замовником 1.02.24-14.02.24</t>
        </is>
      </c>
      <c r="G51" s="22" t="inlineStr">
        <is>
          <t>Підготовка до зустрічі</t>
        </is>
      </c>
      <c r="H51" s="23" t="n">
        <v>0.25</v>
      </c>
      <c r="I51" s="23" t="n">
        <v>0.3667</v>
      </c>
      <c r="J51" s="23">
        <f>I51-H51</f>
        <v/>
      </c>
      <c r="K51" s="22" t="inlineStr">
        <is>
          <t>частково виставлено</t>
        </is>
      </c>
      <c r="L51" s="24">
        <f>INDEX(Ставки!$C$2:$C$44,MATCH(D51,Ставки!$A$2:$A$44,0))</f>
        <v/>
      </c>
      <c r="M51" s="24">
        <f>J51*L51</f>
        <v/>
      </c>
      <c r="N51" s="22" t="inlineStr"/>
    </row>
    <row r="52">
      <c r="A52" s="22" t="n">
        <v>21395</v>
      </c>
      <c r="B52" s="22" t="inlineStr">
        <is>
          <t>2024-02-15</t>
        </is>
      </c>
      <c r="C52" s="22" t="inlineStr">
        <is>
          <t>2024</t>
        </is>
      </c>
      <c r="D52" s="22" t="inlineStr">
        <is>
          <t>2024-02</t>
        </is>
      </c>
      <c r="E52" s="22" t="inlineStr">
        <is>
          <t>Адаменко Олесь</t>
        </is>
      </c>
      <c r="F52" s="22" t="inlineStr">
        <is>
          <t>Проблема: не вноситься табель  у працівника</t>
        </is>
      </c>
      <c r="G52" s="22" t="inlineStr">
        <is>
          <t>Пошук проблеми</t>
        </is>
      </c>
      <c r="H52" s="23" t="n">
        <v>0.75</v>
      </c>
      <c r="I52" s="23" t="n">
        <v>0.8167</v>
      </c>
      <c r="J52" s="23">
        <f>I52-H52</f>
        <v/>
      </c>
      <c r="K52" s="22" t="inlineStr">
        <is>
          <t>частково виставлено</t>
        </is>
      </c>
      <c r="L52" s="24">
        <f>INDEX(Ставки!$C$2:$C$44,MATCH(D52,Ставки!$A$2:$A$44,0))</f>
        <v/>
      </c>
      <c r="M52" s="24">
        <f>J52*L52</f>
        <v/>
      </c>
      <c r="N52" s="22" t="inlineStr"/>
    </row>
    <row r="53">
      <c r="A53" s="22" t="n">
        <v>21414</v>
      </c>
      <c r="B53" s="22" t="inlineStr">
        <is>
          <t>2024-02-15</t>
        </is>
      </c>
      <c r="C53" s="22" t="inlineStr">
        <is>
          <t>2024</t>
        </is>
      </c>
      <c r="D53" s="22" t="inlineStr">
        <is>
          <t>2024-02</t>
        </is>
      </c>
      <c r="E53" s="22" t="inlineStr">
        <is>
          <t>Задорожна Катерина</t>
        </is>
      </c>
      <c r="F53" s="22" t="inlineStr">
        <is>
          <t>Проблема: Відображення воронки задач</t>
        </is>
      </c>
      <c r="G53" s="22" t="inlineStr">
        <is>
          <t>Розгортання, тестування</t>
        </is>
      </c>
      <c r="H53" s="23" t="n">
        <v>0.5</v>
      </c>
      <c r="I53" s="23" t="n">
        <v>2</v>
      </c>
      <c r="J53" s="23">
        <f>I53-H53</f>
        <v/>
      </c>
      <c r="K53" s="22" t="inlineStr">
        <is>
          <t>частково виставлено</t>
        </is>
      </c>
      <c r="L53" s="24">
        <f>INDEX(Ставки!$C$2:$C$44,MATCH(D53,Ставки!$A$2:$A$44,0))</f>
        <v/>
      </c>
      <c r="M53" s="24">
        <f>J53*L53</f>
        <v/>
      </c>
      <c r="N53" s="22" t="inlineStr"/>
    </row>
    <row r="54">
      <c r="A54" s="22" t="n">
        <v>21413</v>
      </c>
      <c r="B54" s="22" t="inlineStr">
        <is>
          <t>2024-02-16</t>
        </is>
      </c>
      <c r="C54" s="22" t="inlineStr">
        <is>
          <t>2024</t>
        </is>
      </c>
      <c r="D54" s="22" t="inlineStr">
        <is>
          <t>2024-02</t>
        </is>
      </c>
      <c r="E54" s="22" t="inlineStr">
        <is>
          <t>Адаменко Олесь</t>
        </is>
      </c>
      <c r="F54" s="22" t="inlineStr">
        <is>
          <t>Перекласти меню фільтра "My Favorite Projects"</t>
        </is>
      </c>
      <c r="G54" s="22" t="inlineStr">
        <is>
          <t>Створення задач 3-х з описом</t>
        </is>
      </c>
      <c r="H54" s="23" t="n">
        <v>0.25</v>
      </c>
      <c r="I54" s="23" t="n">
        <v>0.2833</v>
      </c>
      <c r="J54" s="23">
        <f>I54-H54</f>
        <v/>
      </c>
      <c r="K54" s="22" t="inlineStr">
        <is>
          <t>частково виставлено</t>
        </is>
      </c>
      <c r="L54" s="24">
        <f>INDEX(Ставки!$C$2:$C$44,MATCH(D54,Ставки!$A$2:$A$44,0))</f>
        <v/>
      </c>
      <c r="M54" s="24">
        <f>J54*L54</f>
        <v/>
      </c>
      <c r="N54" s="22" t="inlineStr"/>
    </row>
    <row r="55">
      <c r="A55" s="22" t="n">
        <v>21417</v>
      </c>
      <c r="B55" s="22" t="inlineStr">
        <is>
          <t>2024-02-16</t>
        </is>
      </c>
      <c r="C55" s="22" t="inlineStr">
        <is>
          <t>2024</t>
        </is>
      </c>
      <c r="D55" s="22" t="inlineStr">
        <is>
          <t>2024-02</t>
        </is>
      </c>
      <c r="E55" s="22" t="inlineStr">
        <is>
          <t>Адаменко Олесь</t>
        </is>
      </c>
      <c r="F55" s="22" t="inlineStr">
        <is>
          <t>Перекласти меню фільтра "My Favorite Projects"</t>
        </is>
      </c>
      <c r="G55" s="22" t="inlineStr">
        <is>
          <t>Налаштування перекладу</t>
        </is>
      </c>
      <c r="H55" s="23" t="n">
        <v>0.75</v>
      </c>
      <c r="I55" s="23" t="n">
        <v>1.05</v>
      </c>
      <c r="J55" s="23">
        <f>I55-H55</f>
        <v/>
      </c>
      <c r="K55" s="22" t="inlineStr">
        <is>
          <t>частково виставлено</t>
        </is>
      </c>
      <c r="L55" s="24">
        <f>INDEX(Ставки!$C$2:$C$44,MATCH(D55,Ставки!$A$2:$A$44,0))</f>
        <v/>
      </c>
      <c r="M55" s="24">
        <f>J55*L55</f>
        <v/>
      </c>
      <c r="N55" s="22" t="inlineStr"/>
    </row>
    <row r="56">
      <c r="A56" s="22" t="n">
        <v>21418</v>
      </c>
      <c r="B56" s="22" t="inlineStr">
        <is>
          <t>2024-02-16</t>
        </is>
      </c>
      <c r="C56" s="22" t="inlineStr">
        <is>
          <t>2024</t>
        </is>
      </c>
      <c r="D56" s="22" t="inlineStr">
        <is>
          <t>2024-02</t>
        </is>
      </c>
      <c r="E56" s="22" t="inlineStr">
        <is>
          <t>Адаменко Олесь</t>
        </is>
      </c>
      <c r="F56" s="22" t="inlineStr">
        <is>
          <t>Щотижнева зустріч з замовником</t>
        </is>
      </c>
      <c r="G56" s="22" t="inlineStr">
        <is>
          <t>Відповідь на запитання в чаті по: питання з доступом, відображення фільтрів, можелювання можливостей, прорахунок вартості допрацювань,</t>
        </is>
      </c>
      <c r="H56" s="23" t="n">
        <v>0.5</v>
      </c>
      <c r="I56" s="23" t="n">
        <v>0.6833</v>
      </c>
      <c r="J56" s="23">
        <f>I56-H56</f>
        <v/>
      </c>
      <c r="K56" s="22" t="inlineStr">
        <is>
          <t>частково виставлено</t>
        </is>
      </c>
      <c r="L56" s="24">
        <f>INDEX(Ставки!$C$2:$C$44,MATCH(D56,Ставки!$A$2:$A$44,0))</f>
        <v/>
      </c>
      <c r="M56" s="24">
        <f>J56*L56</f>
        <v/>
      </c>
      <c r="N56" s="22" t="inlineStr"/>
    </row>
    <row r="57">
      <c r="A57" s="22" t="n">
        <v>21470</v>
      </c>
      <c r="B57" s="22" t="inlineStr">
        <is>
          <t>2024-02-19</t>
        </is>
      </c>
      <c r="C57" s="22" t="inlineStr">
        <is>
          <t>2024</t>
        </is>
      </c>
      <c r="D57" s="22" t="inlineStr">
        <is>
          <t>2024-02</t>
        </is>
      </c>
      <c r="E57" s="22" t="inlineStr">
        <is>
          <t>Адаменко Олесь</t>
        </is>
      </c>
      <c r="F57" s="22" t="inlineStr">
        <is>
          <t>Навчання по веденню проектів, фільтрам та модулю Ганта</t>
        </is>
      </c>
      <c r="G57" s="22" t="inlineStr">
        <is>
          <t>підготовка</t>
        </is>
      </c>
      <c r="H57" s="23" t="n">
        <v>0.75</v>
      </c>
      <c r="I57" s="23" t="n">
        <v>0.8</v>
      </c>
      <c r="J57" s="23">
        <f>I57-H57</f>
        <v/>
      </c>
      <c r="K57" s="22" t="inlineStr">
        <is>
          <t>частково виставлено</t>
        </is>
      </c>
      <c r="L57" s="24">
        <f>INDEX(Ставки!$C$2:$C$44,MATCH(D57,Ставки!$A$2:$A$44,0))</f>
        <v/>
      </c>
      <c r="M57" s="24">
        <f>J57*L57</f>
        <v/>
      </c>
      <c r="N57" s="22" t="inlineStr"/>
    </row>
    <row r="58">
      <c r="A58" s="22" t="n">
        <v>21639</v>
      </c>
      <c r="B58" s="22" t="inlineStr">
        <is>
          <t>2024-02-19</t>
        </is>
      </c>
      <c r="C58" s="22" t="inlineStr">
        <is>
          <t>2024</t>
        </is>
      </c>
      <c r="D58" s="22" t="inlineStr">
        <is>
          <t>2024-02</t>
        </is>
      </c>
      <c r="E58" s="22" t="inlineStr">
        <is>
          <t>Адаменко Олесь</t>
        </is>
      </c>
      <c r="F58" s="22" t="inlineStr">
        <is>
          <t>Навчання по веденню проектів, фільтрам та модулю Ганта</t>
        </is>
      </c>
      <c r="G58" s="22" t="inlineStr">
        <is>
          <t>Надсилання інформації</t>
        </is>
      </c>
      <c r="H58" s="23" t="n">
        <v>0.25</v>
      </c>
      <c r="I58" s="23" t="n">
        <v>0.5</v>
      </c>
      <c r="J58" s="23">
        <f>I58-H58</f>
        <v/>
      </c>
      <c r="K58" s="22" t="inlineStr">
        <is>
          <t>частково виставлено</t>
        </is>
      </c>
      <c r="L58" s="24">
        <f>INDEX(Ставки!$C$2:$C$44,MATCH(D58,Ставки!$A$2:$A$44,0))</f>
        <v/>
      </c>
      <c r="M58" s="24">
        <f>J58*L58</f>
        <v/>
      </c>
      <c r="N58" s="22" t="inlineStr"/>
    </row>
    <row r="59">
      <c r="A59" s="22" t="n">
        <v>21643</v>
      </c>
      <c r="B59" s="22" t="inlineStr">
        <is>
          <t>2024-02-20</t>
        </is>
      </c>
      <c r="C59" s="22" t="inlineStr">
        <is>
          <t>2024</t>
        </is>
      </c>
      <c r="D59" s="22" t="inlineStr">
        <is>
          <t>2024-02</t>
        </is>
      </c>
      <c r="E59" s="22" t="inlineStr">
        <is>
          <t>Адаменко Олесь</t>
        </is>
      </c>
      <c r="F59" s="22" t="inlineStr">
        <is>
          <t>Проблема: працівник не може створити проект з SO</t>
        </is>
      </c>
      <c r="G59" s="22" t="inlineStr">
        <is>
          <t>Розбір проблеми</t>
        </is>
      </c>
      <c r="H59" s="23" t="n">
        <v>0</v>
      </c>
      <c r="I59" s="23" t="n">
        <v>0.4167</v>
      </c>
      <c r="J59" s="23">
        <f>I59-H59</f>
        <v/>
      </c>
      <c r="K59" s="22" t="inlineStr">
        <is>
          <t>безкоштовно (виставлено 0)</t>
        </is>
      </c>
      <c r="L59" s="24">
        <f>INDEX(Ставки!$C$2:$C$44,MATCH(D59,Ставки!$A$2:$A$44,0))</f>
        <v/>
      </c>
      <c r="M59" s="24">
        <f>J59*L59</f>
        <v/>
      </c>
      <c r="N59" s="22" t="inlineStr"/>
    </row>
    <row r="60">
      <c r="A60" s="22" t="n">
        <v>21644</v>
      </c>
      <c r="B60" s="22" t="inlineStr">
        <is>
          <t>2024-02-20</t>
        </is>
      </c>
      <c r="C60" s="22" t="inlineStr">
        <is>
          <t>2024</t>
        </is>
      </c>
      <c r="D60" s="22" t="inlineStr">
        <is>
          <t>2024-02</t>
        </is>
      </c>
      <c r="E60" s="22" t="inlineStr">
        <is>
          <t>Адаменко Олесь</t>
        </is>
      </c>
      <c r="F60" s="22" t="inlineStr">
        <is>
          <t>Щотижнева зустріч з замовником</t>
        </is>
      </c>
      <c r="G60" s="22" t="inlineStr">
        <is>
          <t>Проблема: збереження табеля у Наталії Єфимової</t>
        </is>
      </c>
      <c r="H60" s="23" t="n">
        <v>0.25</v>
      </c>
      <c r="I60" s="23" t="n">
        <v>0.2667</v>
      </c>
      <c r="J60" s="23">
        <f>I60-H60</f>
        <v/>
      </c>
      <c r="K60" s="22" t="inlineStr">
        <is>
          <t>частково виставлено</t>
        </is>
      </c>
      <c r="L60" s="24">
        <f>INDEX(Ставки!$C$2:$C$44,MATCH(D60,Ставки!$A$2:$A$44,0))</f>
        <v/>
      </c>
      <c r="M60" s="24">
        <f>J60*L60</f>
        <v/>
      </c>
      <c r="N60" s="22" t="inlineStr"/>
    </row>
    <row r="61">
      <c r="A61" s="22" t="n">
        <v>21642</v>
      </c>
      <c r="B61" s="22" t="inlineStr">
        <is>
          <t>2024-02-23</t>
        </is>
      </c>
      <c r="C61" s="22" t="inlineStr">
        <is>
          <t>2024</t>
        </is>
      </c>
      <c r="D61" s="22" t="inlineStr">
        <is>
          <t>2024-02</t>
        </is>
      </c>
      <c r="E61" s="22" t="inlineStr">
        <is>
          <t>Адаменко Олесь</t>
        </is>
      </c>
      <c r="F61" s="22" t="inlineStr">
        <is>
          <t>Проблема: працівник не може створити проект з SO</t>
        </is>
      </c>
      <c r="G61" s="22" t="inlineStr">
        <is>
          <t>Формування завдання</t>
        </is>
      </c>
      <c r="H61" s="23" t="n">
        <v>0</v>
      </c>
      <c r="I61" s="23" t="n">
        <v>0.2167</v>
      </c>
      <c r="J61" s="23">
        <f>I61-H61</f>
        <v/>
      </c>
      <c r="K61" s="22" t="inlineStr">
        <is>
          <t>безкоштовно (виставлено 0)</t>
        </is>
      </c>
      <c r="L61" s="24">
        <f>INDEX(Ставки!$C$2:$C$44,MATCH(D61,Ставки!$A$2:$A$44,0))</f>
        <v/>
      </c>
      <c r="M61" s="24">
        <f>J61*L61</f>
        <v/>
      </c>
      <c r="N61" s="22" t="inlineStr"/>
    </row>
    <row r="62">
      <c r="A62" s="22" t="n">
        <v>21645</v>
      </c>
      <c r="B62" s="22" t="inlineStr">
        <is>
          <t>2024-02-23</t>
        </is>
      </c>
      <c r="C62" s="22" t="inlineStr">
        <is>
          <t>2024</t>
        </is>
      </c>
      <c r="D62" s="22" t="inlineStr">
        <is>
          <t>2024-02</t>
        </is>
      </c>
      <c r="E62" s="22" t="inlineStr">
        <is>
          <t>Адаменко Олесь</t>
        </is>
      </c>
      <c r="F62" s="22" t="inlineStr">
        <is>
          <t>Допрацювання: Зробити стандартний фітр по задачам моїх відкритих проектів</t>
        </is>
      </c>
      <c r="G62" s="22" t="inlineStr">
        <is>
          <t>Моделювання роботи фільтру на демо базі</t>
        </is>
      </c>
      <c r="H62" s="23" t="n">
        <v>0.25</v>
      </c>
      <c r="I62" s="23" t="n">
        <v>0.4167</v>
      </c>
      <c r="J62" s="23">
        <f>I62-H62</f>
        <v/>
      </c>
      <c r="K62" s="22" t="inlineStr">
        <is>
          <t>частково виставлено</t>
        </is>
      </c>
      <c r="L62" s="24">
        <f>INDEX(Ставки!$C$2:$C$44,MATCH(D62,Ставки!$A$2:$A$44,0))</f>
        <v/>
      </c>
      <c r="M62" s="24">
        <f>J62*L62</f>
        <v/>
      </c>
      <c r="N62" s="22" t="inlineStr"/>
    </row>
    <row r="63">
      <c r="A63" s="22" t="n">
        <v>21878</v>
      </c>
      <c r="B63" s="22" t="inlineStr">
        <is>
          <t>2024-02-28</t>
        </is>
      </c>
      <c r="C63" s="22" t="inlineStr">
        <is>
          <t>2024</t>
        </is>
      </c>
      <c r="D63" s="22" t="inlineStr">
        <is>
          <t>2024-02</t>
        </is>
      </c>
      <c r="E63" s="22" t="inlineStr">
        <is>
          <t>Адаменко Олесь</t>
        </is>
      </c>
      <c r="F63" s="22" t="inlineStr">
        <is>
          <t>Проблема: працівник не може створити проект з SO</t>
        </is>
      </c>
      <c r="G63" s="22" t="inlineStr">
        <is>
          <t>Тестування роботи</t>
        </is>
      </c>
      <c r="H63" s="23" t="n">
        <v>0</v>
      </c>
      <c r="I63" s="23" t="n">
        <v>0.2167</v>
      </c>
      <c r="J63" s="23">
        <f>I63-H63</f>
        <v/>
      </c>
      <c r="K63" s="22" t="inlineStr">
        <is>
          <t>безкоштовно (виставлено 0)</t>
        </is>
      </c>
      <c r="L63" s="24">
        <f>INDEX(Ставки!$C$2:$C$44,MATCH(D63,Ставки!$A$2:$A$44,0))</f>
        <v/>
      </c>
      <c r="M63" s="24">
        <f>J63*L63</f>
        <v/>
      </c>
      <c r="N63" s="22" t="inlineStr"/>
    </row>
    <row r="64">
      <c r="A64" s="22" t="n">
        <v>22079</v>
      </c>
      <c r="B64" s="22" t="inlineStr">
        <is>
          <t>2024-03-04</t>
        </is>
      </c>
      <c r="C64" s="22" t="inlineStr">
        <is>
          <t>2024</t>
        </is>
      </c>
      <c r="D64" s="22" t="inlineStr">
        <is>
          <t>2024-03</t>
        </is>
      </c>
      <c r="E64" s="22" t="inlineStr">
        <is>
          <t>Комов Артем</t>
        </is>
      </c>
      <c r="F64" s="22" t="inlineStr">
        <is>
          <t>Проблема: Відображення воронки задач</t>
        </is>
      </c>
      <c r="G64" s="22" t="inlineStr">
        <is>
          <t>Створення модулю з візардом для виправлення проблеми</t>
        </is>
      </c>
      <c r="H64" s="23" t="n">
        <v>1</v>
      </c>
      <c r="I64" s="23" t="n">
        <v>3</v>
      </c>
      <c r="J64" s="23">
        <f>I64-H64</f>
        <v/>
      </c>
      <c r="K64" s="22" t="inlineStr">
        <is>
          <t>частково виставлено</t>
        </is>
      </c>
      <c r="L64" s="24">
        <f>INDEX(Ставки!$C$2:$C$44,MATCH(D64,Ставки!$A$2:$A$44,0))</f>
        <v/>
      </c>
      <c r="M64" s="24">
        <f>J64*L64</f>
        <v/>
      </c>
      <c r="N64" s="22" t="inlineStr"/>
    </row>
    <row r="65">
      <c r="A65" s="22" t="n">
        <v>22120</v>
      </c>
      <c r="B65" s="22" t="inlineStr">
        <is>
          <t>2024-03-04</t>
        </is>
      </c>
      <c r="C65" s="22" t="inlineStr">
        <is>
          <t>2024</t>
        </is>
      </c>
      <c r="D65" s="22" t="inlineStr">
        <is>
          <t>2024-03</t>
        </is>
      </c>
      <c r="E65" s="22" t="inlineStr">
        <is>
          <t>Кононенко Костянтин</t>
        </is>
      </c>
      <c r="F65" s="22" t="inlineStr">
        <is>
          <t>Проблема: працівник не може створити проект з SO</t>
        </is>
      </c>
      <c r="G65" s="22" t="inlineStr">
        <is>
          <t>Оцінка рішення</t>
        </is>
      </c>
      <c r="H65" s="23" t="n">
        <v>1</v>
      </c>
      <c r="I65" s="23" t="n">
        <v>2.3667</v>
      </c>
      <c r="J65" s="23">
        <f>I65-H65</f>
        <v/>
      </c>
      <c r="K65" s="22" t="inlineStr">
        <is>
          <t>частково виставлено</t>
        </is>
      </c>
      <c r="L65" s="24">
        <f>INDEX(Ставки!$C$2:$C$44,MATCH(D65,Ставки!$A$2:$A$44,0))</f>
        <v/>
      </c>
      <c r="M65" s="24">
        <f>J65*L65</f>
        <v/>
      </c>
      <c r="N65" s="22" t="inlineStr"/>
    </row>
    <row r="66">
      <c r="A66" s="22" t="n">
        <v>22168</v>
      </c>
      <c r="B66" s="22" t="inlineStr">
        <is>
          <t>2024-03-04</t>
        </is>
      </c>
      <c r="C66" s="22" t="inlineStr">
        <is>
          <t>2024</t>
        </is>
      </c>
      <c r="D66" s="22" t="inlineStr">
        <is>
          <t>2024-03</t>
        </is>
      </c>
      <c r="E66" s="22" t="inlineStr">
        <is>
          <t>Адаменко Олесь</t>
        </is>
      </c>
      <c r="F66" s="22" t="inlineStr">
        <is>
          <t>Щотижнева зустріч з замовником</t>
        </is>
      </c>
      <c r="G66" s="22" t="inlineStr">
        <is>
          <t>Пролема: Маю помилку - не можу редагувати опис завдання Марина Кот</t>
        </is>
      </c>
      <c r="H66" s="23" t="n">
        <v>0</v>
      </c>
      <c r="I66" s="23" t="n">
        <v>1.6</v>
      </c>
      <c r="J66" s="23">
        <f>I66-H66</f>
        <v/>
      </c>
      <c r="K66" s="22" t="inlineStr">
        <is>
          <t>безкоштовно (виставлено 0)</t>
        </is>
      </c>
      <c r="L66" s="24">
        <f>INDEX(Ставки!$C$2:$C$44,MATCH(D66,Ставки!$A$2:$A$44,0))</f>
        <v/>
      </c>
      <c r="M66" s="24">
        <f>J66*L66</f>
        <v/>
      </c>
      <c r="N66" s="22" t="inlineStr"/>
    </row>
    <row r="67">
      <c r="A67" s="22" t="n">
        <v>22214</v>
      </c>
      <c r="B67" s="22" t="inlineStr">
        <is>
          <t>2024-03-04</t>
        </is>
      </c>
      <c r="C67" s="22" t="inlineStr">
        <is>
          <t>2024</t>
        </is>
      </c>
      <c r="D67" s="22" t="inlineStr">
        <is>
          <t>2024-03</t>
        </is>
      </c>
      <c r="E67" s="22" t="inlineStr">
        <is>
          <t>Адаменко Олесь</t>
        </is>
      </c>
      <c r="F67" s="22" t="inlineStr">
        <is>
          <t>Проблема:Помилка при збереженні задач</t>
        </is>
      </c>
      <c r="G67" s="22" t="inlineStr">
        <is>
          <t>Заипс відео для виявлення проблем</t>
        </is>
      </c>
      <c r="H67" s="23" t="n">
        <v>0.5</v>
      </c>
      <c r="I67" s="23" t="n">
        <v>0.5667</v>
      </c>
      <c r="J67" s="23">
        <f>I67-H67</f>
        <v/>
      </c>
      <c r="K67" s="22" t="inlineStr">
        <is>
          <t>частково виставлено</t>
        </is>
      </c>
      <c r="L67" s="24">
        <f>INDEX(Ставки!$C$2:$C$44,MATCH(D67,Ставки!$A$2:$A$44,0))</f>
        <v/>
      </c>
      <c r="M67" s="24">
        <f>J67*L67</f>
        <v/>
      </c>
      <c r="N67" s="22" t="inlineStr"/>
    </row>
    <row r="68">
      <c r="A68" s="22" t="n">
        <v>22122</v>
      </c>
      <c r="B68" s="22" t="inlineStr">
        <is>
          <t>2024-03-05</t>
        </is>
      </c>
      <c r="C68" s="22" t="inlineStr">
        <is>
          <t>2024</t>
        </is>
      </c>
      <c r="D68" s="22" t="inlineStr">
        <is>
          <t>2024-03</t>
        </is>
      </c>
      <c r="E68" s="22" t="inlineStr">
        <is>
          <t>Адаменко Олесь</t>
        </is>
      </c>
      <c r="F68" s="22" t="inlineStr">
        <is>
          <t>Щотижнева зустріч з замовником</t>
        </is>
      </c>
      <c r="G68" s="22" t="inlineStr">
        <is>
          <t>Інофрмування: Дарина Надточій по питанню червоного знаку оклику в Ганті</t>
        </is>
      </c>
      <c r="H68" s="23" t="n">
        <v>0.25</v>
      </c>
      <c r="I68" s="23" t="n">
        <v>0.3333</v>
      </c>
      <c r="J68" s="23">
        <f>I68-H68</f>
        <v/>
      </c>
      <c r="K68" s="22" t="inlineStr">
        <is>
          <t>частково виставлено</t>
        </is>
      </c>
      <c r="L68" s="24">
        <f>INDEX(Ставки!$C$2:$C$44,MATCH(D68,Ставки!$A$2:$A$44,0))</f>
        <v/>
      </c>
      <c r="M68" s="24">
        <f>J68*L68</f>
        <v/>
      </c>
      <c r="N68" s="22" t="inlineStr"/>
    </row>
    <row r="69">
      <c r="A69" s="22" t="n">
        <v>22172</v>
      </c>
      <c r="B69" s="22" t="inlineStr">
        <is>
          <t>2024-03-06</t>
        </is>
      </c>
      <c r="C69" s="22" t="inlineStr">
        <is>
          <t>2024</t>
        </is>
      </c>
      <c r="D69" s="22" t="inlineStr">
        <is>
          <t>2024-03</t>
        </is>
      </c>
      <c r="E69" s="22" t="inlineStr">
        <is>
          <t>Адаменко Олесь</t>
        </is>
      </c>
      <c r="F69" s="22" t="inlineStr">
        <is>
          <t>Проблема: неможливість поствити задачу у "Улюблені"</t>
        </is>
      </c>
      <c r="G69" s="22" t="inlineStr">
        <is>
          <t>Пошук рішення</t>
        </is>
      </c>
      <c r="H69" s="23" t="n">
        <v>0.25</v>
      </c>
      <c r="I69" s="23" t="n">
        <v>0.2667</v>
      </c>
      <c r="J69" s="23">
        <f>I69-H69</f>
        <v/>
      </c>
      <c r="K69" s="22" t="inlineStr">
        <is>
          <t>частково виставлено</t>
        </is>
      </c>
      <c r="L69" s="24">
        <f>INDEX(Ставки!$C$2:$C$44,MATCH(D69,Ставки!$A$2:$A$44,0))</f>
        <v/>
      </c>
      <c r="M69" s="24">
        <f>J69*L69</f>
        <v/>
      </c>
      <c r="N69" s="22" t="inlineStr"/>
    </row>
    <row r="70">
      <c r="A70" s="22" t="n">
        <v>22197</v>
      </c>
      <c r="B70" s="22" t="inlineStr">
        <is>
          <t>2024-03-06</t>
        </is>
      </c>
      <c r="C70" s="22" t="inlineStr">
        <is>
          <t>2024</t>
        </is>
      </c>
      <c r="D70" s="22" t="inlineStr">
        <is>
          <t>2024-03</t>
        </is>
      </c>
      <c r="E70" s="22" t="inlineStr">
        <is>
          <t>Адаменко Олесь</t>
        </is>
      </c>
      <c r="F70" s="22" t="inlineStr">
        <is>
          <t>Щотижнева зустріч з замовником</t>
        </is>
      </c>
      <c r="G70" s="22" t="inlineStr">
        <is>
          <t>Щотижнева зустріч з замовником</t>
        </is>
      </c>
      <c r="H70" s="23" t="n">
        <v>0.5</v>
      </c>
      <c r="I70" s="23" t="n">
        <v>0.6167</v>
      </c>
      <c r="J70" s="23">
        <f>I70-H70</f>
        <v/>
      </c>
      <c r="K70" s="22" t="inlineStr">
        <is>
          <t>частково виставлено</t>
        </is>
      </c>
      <c r="L70" s="24">
        <f>INDEX(Ставки!$C$2:$C$44,MATCH(D70,Ставки!$A$2:$A$44,0))</f>
        <v/>
      </c>
      <c r="M70" s="24">
        <f>J70*L70</f>
        <v/>
      </c>
      <c r="N70" s="22" t="inlineStr"/>
    </row>
    <row r="71">
      <c r="A71" s="22" t="n">
        <v>22308</v>
      </c>
      <c r="B71" s="22" t="inlineStr">
        <is>
          <t>2024-03-11</t>
        </is>
      </c>
      <c r="C71" s="22" t="inlineStr">
        <is>
          <t>2024</t>
        </is>
      </c>
      <c r="D71" s="22" t="inlineStr">
        <is>
          <t>2024-03</t>
        </is>
      </c>
      <c r="E71" s="22" t="inlineStr">
        <is>
          <t>Адаменко Олесь</t>
        </is>
      </c>
      <c r="F71" s="22" t="inlineStr">
        <is>
          <t>Щотижнева зустріч з замовником</t>
        </is>
      </c>
      <c r="G71" s="22" t="inlineStr">
        <is>
          <t>Проблема зі збереженням табеля у Ольги Ольштинської</t>
        </is>
      </c>
      <c r="H71" s="23" t="n">
        <v>0.25</v>
      </c>
      <c r="I71" s="23" t="n">
        <v>0.3</v>
      </c>
      <c r="J71" s="23">
        <f>I71-H71</f>
        <v/>
      </c>
      <c r="K71" s="22" t="inlineStr">
        <is>
          <t>частково виставлено</t>
        </is>
      </c>
      <c r="L71" s="24">
        <f>INDEX(Ставки!$C$2:$C$44,MATCH(D71,Ставки!$A$2:$A$44,0))</f>
        <v/>
      </c>
      <c r="M71" s="24">
        <f>J71*L71</f>
        <v/>
      </c>
      <c r="N71" s="22" t="inlineStr"/>
    </row>
    <row r="72">
      <c r="A72" s="22" t="n">
        <v>22371</v>
      </c>
      <c r="B72" s="22" t="inlineStr">
        <is>
          <t>2024-03-11</t>
        </is>
      </c>
      <c r="C72" s="22" t="inlineStr">
        <is>
          <t>2024</t>
        </is>
      </c>
      <c r="D72" s="22" t="inlineStr">
        <is>
          <t>2024-03</t>
        </is>
      </c>
      <c r="E72" s="22" t="inlineStr">
        <is>
          <t>Юрченко Наталія</t>
        </is>
      </c>
      <c r="F72" s="22" t="inlineStr">
        <is>
          <t>Проблема: неможливість поствити задачу у "Улюблені"</t>
        </is>
      </c>
      <c r="G72" s="22" t="inlineStr">
        <is>
          <t>створення ТЗ на розробника</t>
        </is>
      </c>
      <c r="H72" s="23" t="n">
        <v>0.25</v>
      </c>
      <c r="I72" s="23" t="n">
        <v>0.35</v>
      </c>
      <c r="J72" s="23">
        <f>I72-H72</f>
        <v/>
      </c>
      <c r="K72" s="22" t="inlineStr">
        <is>
          <t>частково виставлено</t>
        </is>
      </c>
      <c r="L72" s="24">
        <f>INDEX(Ставки!$C$2:$C$44,MATCH(D72,Ставки!$A$2:$A$44,0))</f>
        <v/>
      </c>
      <c r="M72" s="24">
        <f>J72*L72</f>
        <v/>
      </c>
      <c r="N72" s="22" t="inlineStr"/>
    </row>
    <row r="73">
      <c r="A73" s="22" t="n">
        <v>22595</v>
      </c>
      <c r="B73" s="22" t="inlineStr">
        <is>
          <t>2024-03-18</t>
        </is>
      </c>
      <c r="C73" s="22" t="inlineStr">
        <is>
          <t>2024</t>
        </is>
      </c>
      <c r="D73" s="22" t="inlineStr">
        <is>
          <t>2024-03</t>
        </is>
      </c>
      <c r="E73" s="22" t="inlineStr">
        <is>
          <t>Адаменко Олесь</t>
        </is>
      </c>
      <c r="F73" s="22" t="inlineStr">
        <is>
          <t>Щотижнева зустріч з замовником</t>
        </is>
      </c>
      <c r="G73" s="22" t="inlineStr">
        <is>
          <t>Виставлення всіх задач на розробницків</t>
        </is>
      </c>
      <c r="H73" s="23" t="n">
        <v>0.25</v>
      </c>
      <c r="I73" s="23" t="n">
        <v>0.2667</v>
      </c>
      <c r="J73" s="23">
        <f>I73-H73</f>
        <v/>
      </c>
      <c r="K73" s="22" t="inlineStr">
        <is>
          <t>частково виставлено</t>
        </is>
      </c>
      <c r="L73" s="24">
        <f>INDEX(Ставки!$C$2:$C$44,MATCH(D73,Ставки!$A$2:$A$44,0))</f>
        <v/>
      </c>
      <c r="M73" s="24">
        <f>J73*L73</f>
        <v/>
      </c>
      <c r="N73" s="22" t="inlineStr"/>
    </row>
    <row r="74">
      <c r="A74" s="22" t="n">
        <v>22746</v>
      </c>
      <c r="B74" s="22" t="inlineStr">
        <is>
          <t>2024-03-25</t>
        </is>
      </c>
      <c r="C74" s="22" t="inlineStr">
        <is>
          <t>2024</t>
        </is>
      </c>
      <c r="D74" s="22" t="inlineStr">
        <is>
          <t>2024-03</t>
        </is>
      </c>
      <c r="E74" s="22" t="inlineStr">
        <is>
          <t>Кононенко Костянтин</t>
        </is>
      </c>
      <c r="F74" s="22" t="inlineStr">
        <is>
          <t>Проблема: неможливість поствити задачу у "Улюблені"</t>
        </is>
      </c>
      <c r="G74" s="22" t="inlineStr">
        <is>
          <t>Дописав правило додаткового доступу до пріоритету проекту всім працівникам</t>
        </is>
      </c>
      <c r="H74" s="23" t="n">
        <v>1</v>
      </c>
      <c r="I74" s="23" t="n">
        <v>2</v>
      </c>
      <c r="J74" s="23">
        <f>I74-H74</f>
        <v/>
      </c>
      <c r="K74" s="22" t="inlineStr">
        <is>
          <t>частково виставлено</t>
        </is>
      </c>
      <c r="L74" s="24">
        <f>INDEX(Ставки!$C$2:$C$44,MATCH(D74,Ставки!$A$2:$A$44,0))</f>
        <v/>
      </c>
      <c r="M74" s="24">
        <f>J74*L74</f>
        <v/>
      </c>
      <c r="N74" s="22" t="inlineStr"/>
    </row>
    <row r="75">
      <c r="A75" s="22" t="n">
        <v>22859</v>
      </c>
      <c r="B75" s="22" t="inlineStr">
        <is>
          <t>2024-03-27</t>
        </is>
      </c>
      <c r="C75" s="22" t="inlineStr">
        <is>
          <t>2024</t>
        </is>
      </c>
      <c r="D75" s="22" t="inlineStr">
        <is>
          <t>2024-03</t>
        </is>
      </c>
      <c r="E75" s="22" t="inlineStr">
        <is>
          <t>Адаменко Олесь</t>
        </is>
      </c>
      <c r="F75" s="22" t="inlineStr">
        <is>
          <t>Доопрацювання:Створення зв'язків між віхами проектів з шаблонними проектами та товарами</t>
        </is>
      </c>
      <c r="G75" s="22" t="inlineStr">
        <is>
          <t>Зустріч по виомгі замовника</t>
        </is>
      </c>
      <c r="H75" s="23" t="n">
        <v>0.75</v>
      </c>
      <c r="I75" s="23" t="n">
        <v>0.7667</v>
      </c>
      <c r="J75" s="23">
        <f>I75-H75</f>
        <v/>
      </c>
      <c r="K75" s="22" t="inlineStr">
        <is>
          <t>частково виставлено</t>
        </is>
      </c>
      <c r="L75" s="24">
        <f>INDEX(Ставки!$C$2:$C$44,MATCH(D75,Ставки!$A$2:$A$44,0))</f>
        <v/>
      </c>
      <c r="M75" s="24">
        <f>J75*L75</f>
        <v/>
      </c>
      <c r="N75" s="22" t="inlineStr"/>
    </row>
    <row r="76">
      <c r="A76" s="22" t="n">
        <v>22860</v>
      </c>
      <c r="B76" s="22" t="inlineStr">
        <is>
          <t>2024-03-27</t>
        </is>
      </c>
      <c r="C76" s="22" t="inlineStr">
        <is>
          <t>2024</t>
        </is>
      </c>
      <c r="D76" s="22" t="inlineStr">
        <is>
          <t>2024-03</t>
        </is>
      </c>
      <c r="E76" s="22" t="inlineStr">
        <is>
          <t>Адаменко Олесь</t>
        </is>
      </c>
      <c r="F76" s="22" t="inlineStr">
        <is>
          <t>Доопрацювання:Створення зв'язків між віхами проектів з шаблонними проектами та товарами</t>
        </is>
      </c>
      <c r="G76" s="22" t="inlineStr">
        <is>
          <t>Розробка архітектури рішення</t>
        </is>
      </c>
      <c r="H76" s="23" t="n">
        <v>0.5</v>
      </c>
      <c r="I76" s="23" t="n">
        <v>0.8667</v>
      </c>
      <c r="J76" s="23">
        <f>I76-H76</f>
        <v/>
      </c>
      <c r="K76" s="22" t="inlineStr">
        <is>
          <t>частково виставлено</t>
        </is>
      </c>
      <c r="L76" s="24">
        <f>INDEX(Ставки!$C$2:$C$44,MATCH(D76,Ставки!$A$2:$A$44,0))</f>
        <v/>
      </c>
      <c r="M76" s="24">
        <f>J76*L76</f>
        <v/>
      </c>
      <c r="N76" s="22" t="inlineStr"/>
    </row>
    <row r="77">
      <c r="A77" s="22" t="n">
        <v>22861</v>
      </c>
      <c r="B77" s="22" t="inlineStr">
        <is>
          <t>2024-03-27</t>
        </is>
      </c>
      <c r="C77" s="22" t="inlineStr">
        <is>
          <t>2024</t>
        </is>
      </c>
      <c r="D77" s="22" t="inlineStr">
        <is>
          <t>2024-03</t>
        </is>
      </c>
      <c r="E77" s="22" t="inlineStr">
        <is>
          <t>Кутько Ігор</t>
        </is>
      </c>
      <c r="F77" s="22" t="inlineStr">
        <is>
          <t>Доопрацювання:Створення зв'язків між віхами проектів з шаблонними проектами та товарами</t>
        </is>
      </c>
      <c r="G77" s="22" t="inlineStr">
        <is>
          <t>Розробка архітектури рішення</t>
        </is>
      </c>
      <c r="H77" s="23" t="n">
        <v>0.5</v>
      </c>
      <c r="I77" s="23" t="n">
        <v>0.8667</v>
      </c>
      <c r="J77" s="23">
        <f>I77-H77</f>
        <v/>
      </c>
      <c r="K77" s="22" t="inlineStr">
        <is>
          <t>частково виставлено</t>
        </is>
      </c>
      <c r="L77" s="24">
        <f>INDEX(Ставки!$C$2:$C$44,MATCH(D77,Ставки!$A$2:$A$44,0))</f>
        <v/>
      </c>
      <c r="M77" s="24">
        <f>J77*L77</f>
        <v/>
      </c>
      <c r="N77" s="22" t="inlineStr"/>
    </row>
    <row r="78">
      <c r="A78" s="22" t="n">
        <v>22847</v>
      </c>
      <c r="B78" s="22" t="inlineStr">
        <is>
          <t>2024-03-28</t>
        </is>
      </c>
      <c r="C78" s="22" t="inlineStr">
        <is>
          <t>2024</t>
        </is>
      </c>
      <c r="D78" s="22" t="inlineStr">
        <is>
          <t>2024-03</t>
        </is>
      </c>
      <c r="E78" s="22" t="inlineStr">
        <is>
          <t>Адаменко Олесь</t>
        </is>
      </c>
      <c r="F78" s="22" t="inlineStr">
        <is>
          <t>Доопрацювання: додавання нової комерційної в існуючий проект</t>
        </is>
      </c>
      <c r="G78" s="22" t="inlineStr">
        <is>
          <t>Створення ТЗ</t>
        </is>
      </c>
      <c r="H78" s="23" t="n">
        <v>1.5</v>
      </c>
      <c r="I78" s="23" t="n">
        <v>1.7333</v>
      </c>
      <c r="J78" s="23">
        <f>I78-H78</f>
        <v/>
      </c>
      <c r="K78" s="22" t="inlineStr">
        <is>
          <t>частково виставлено</t>
        </is>
      </c>
      <c r="L78" s="24">
        <f>INDEX(Ставки!$C$2:$C$44,MATCH(D78,Ставки!$A$2:$A$44,0))</f>
        <v/>
      </c>
      <c r="M78" s="24">
        <f>J78*L78</f>
        <v/>
      </c>
      <c r="N78" s="22" t="inlineStr"/>
    </row>
    <row r="79">
      <c r="A79" s="22" t="n">
        <v>22863</v>
      </c>
      <c r="B79" s="22" t="inlineStr">
        <is>
          <t>2024-03-28</t>
        </is>
      </c>
      <c r="C79" s="22" t="inlineStr">
        <is>
          <t>2024</t>
        </is>
      </c>
      <c r="D79" s="22" t="inlineStr">
        <is>
          <t>2024-03</t>
        </is>
      </c>
      <c r="E79" s="22" t="inlineStr">
        <is>
          <t>Адаменко Олесь</t>
        </is>
      </c>
      <c r="F79" s="22" t="inlineStr">
        <is>
          <t>Налаштування стуктури товарів</t>
        </is>
      </c>
      <c r="G79" s="22" t="inlineStr">
        <is>
          <t>Моделювання різних варіантів одиниць вимірювань та упаковки</t>
        </is>
      </c>
      <c r="H79" s="23" t="n">
        <v>0.5</v>
      </c>
      <c r="I79" s="23" t="n">
        <v>0.8667</v>
      </c>
      <c r="J79" s="23">
        <f>I79-H79</f>
        <v/>
      </c>
      <c r="K79" s="22" t="inlineStr">
        <is>
          <t>частково виставлено</t>
        </is>
      </c>
      <c r="L79" s="24">
        <f>INDEX(Ставки!$C$2:$C$44,MATCH(D79,Ставки!$A$2:$A$44,0))</f>
        <v/>
      </c>
      <c r="M79" s="24">
        <f>J79*L79</f>
        <v/>
      </c>
      <c r="N79" s="22" t="inlineStr"/>
    </row>
    <row r="80">
      <c r="A80" s="22" t="n">
        <v>24069</v>
      </c>
      <c r="B80" s="22" t="inlineStr">
        <is>
          <t>2024-04-01</t>
        </is>
      </c>
      <c r="C80" s="22" t="inlineStr">
        <is>
          <t>2024</t>
        </is>
      </c>
      <c r="D80" s="22" t="inlineStr">
        <is>
          <t>2024-04</t>
        </is>
      </c>
      <c r="E80" s="22" t="inlineStr">
        <is>
          <t>Адаменко Олесь</t>
        </is>
      </c>
      <c r="F80" s="22" t="inlineStr">
        <is>
          <t>Доопрацювання:Створення зв'язків між віхами проектів з шаблонними проектами та товарами</t>
        </is>
      </c>
      <c r="G80" s="22" t="inlineStr">
        <is>
          <t>ТЗ</t>
        </is>
      </c>
      <c r="H80" s="23" t="n">
        <v>1.5</v>
      </c>
      <c r="I80" s="23" t="n">
        <v>2.2</v>
      </c>
      <c r="J80" s="23">
        <f>I80-H80</f>
        <v/>
      </c>
      <c r="K80" s="22" t="inlineStr">
        <is>
          <t>частково виставлено</t>
        </is>
      </c>
      <c r="L80" s="24">
        <f>INDEX(Ставки!$C$2:$C$44,MATCH(D80,Ставки!$A$2:$A$44,0))</f>
        <v/>
      </c>
      <c r="M80" s="24">
        <f>J80*L80</f>
        <v/>
      </c>
      <c r="N80" s="22" t="inlineStr"/>
    </row>
    <row r="81">
      <c r="A81" s="22" t="n">
        <v>24070</v>
      </c>
      <c r="B81" s="22" t="inlineStr">
        <is>
          <t>2024-04-01</t>
        </is>
      </c>
      <c r="C81" s="22" t="inlineStr">
        <is>
          <t>2024</t>
        </is>
      </c>
      <c r="D81" s="22" t="inlineStr">
        <is>
          <t>2024-04</t>
        </is>
      </c>
      <c r="E81" s="22" t="inlineStr">
        <is>
          <t>Адаменко Олесь</t>
        </is>
      </c>
      <c r="F81" s="22" t="inlineStr">
        <is>
          <t>Доопрацювання: обов'язкове поле + всі існуючі віхи</t>
        </is>
      </c>
      <c r="G81" s="22" t="inlineStr">
        <is>
          <t>ТЗ</t>
        </is>
      </c>
      <c r="H81" s="23" t="n">
        <v>0.5</v>
      </c>
      <c r="I81" s="23" t="n">
        <v>0.5667</v>
      </c>
      <c r="J81" s="23">
        <f>I81-H81</f>
        <v/>
      </c>
      <c r="K81" s="22" t="inlineStr">
        <is>
          <t>частково виставлено</t>
        </is>
      </c>
      <c r="L81" s="24">
        <f>INDEX(Ставки!$C$2:$C$44,MATCH(D81,Ставки!$A$2:$A$44,0))</f>
        <v/>
      </c>
      <c r="M81" s="24">
        <f>J81*L81</f>
        <v/>
      </c>
      <c r="N81" s="22" t="inlineStr"/>
    </row>
    <row r="82">
      <c r="A82" s="22" t="n">
        <v>23049</v>
      </c>
      <c r="B82" s="22" t="inlineStr">
        <is>
          <t>2024-04-04</t>
        </is>
      </c>
      <c r="C82" s="22" t="inlineStr">
        <is>
          <t>2024</t>
        </is>
      </c>
      <c r="D82" s="22" t="inlineStr">
        <is>
          <t>2024-04</t>
        </is>
      </c>
      <c r="E82" s="22" t="inlineStr">
        <is>
          <t>Адаменко Олесь</t>
        </is>
      </c>
      <c r="F82" s="22" t="inlineStr">
        <is>
          <t>Щотижнева зустріч з замовником</t>
        </is>
      </c>
      <c r="G82" s="22" t="inlineStr">
        <is>
          <t>Ведення проекту: контроль виконання задач, оновлення статусів</t>
        </is>
      </c>
      <c r="H82" s="23" t="n">
        <v>0.5</v>
      </c>
      <c r="I82" s="23" t="n">
        <v>0.6833</v>
      </c>
      <c r="J82" s="23">
        <f>I82-H82</f>
        <v/>
      </c>
      <c r="K82" s="22" t="inlineStr">
        <is>
          <t>частково виставлено</t>
        </is>
      </c>
      <c r="L82" s="24">
        <f>INDEX(Ставки!$C$2:$C$44,MATCH(D82,Ставки!$A$2:$A$44,0))</f>
        <v/>
      </c>
      <c r="M82" s="24">
        <f>J82*L82</f>
        <v/>
      </c>
      <c r="N82" s="22" t="inlineStr"/>
    </row>
    <row r="83">
      <c r="A83" s="22" t="n">
        <v>23065</v>
      </c>
      <c r="B83" s="22" t="inlineStr">
        <is>
          <t>2024-04-04</t>
        </is>
      </c>
      <c r="C83" s="22" t="inlineStr">
        <is>
          <t>2024</t>
        </is>
      </c>
      <c r="D83" s="22" t="inlineStr">
        <is>
          <t>2024-04</t>
        </is>
      </c>
      <c r="E83" s="22" t="inlineStr">
        <is>
          <t>Адаменко Олесь</t>
        </is>
      </c>
      <c r="F83" s="22" t="inlineStr">
        <is>
          <t>Проблема: зміна кінцевої дати задачі</t>
        </is>
      </c>
      <c r="G83" s="22" t="inlineStr">
        <is>
          <t>Аналіз та опис ТЗ</t>
        </is>
      </c>
      <c r="H83" s="23" t="n">
        <v>0.25</v>
      </c>
      <c r="I83" s="23" t="n">
        <v>0.35</v>
      </c>
      <c r="J83" s="23">
        <f>I83-H83</f>
        <v/>
      </c>
      <c r="K83" s="22" t="inlineStr">
        <is>
          <t>частково виставлено</t>
        </is>
      </c>
      <c r="L83" s="24">
        <f>INDEX(Ставки!$C$2:$C$44,MATCH(D83,Ставки!$A$2:$A$44,0))</f>
        <v/>
      </c>
      <c r="M83" s="24">
        <f>J83*L83</f>
        <v/>
      </c>
      <c r="N83" s="22" t="inlineStr"/>
    </row>
    <row r="84">
      <c r="A84" s="22" t="n">
        <v>23094</v>
      </c>
      <c r="B84" s="22" t="inlineStr">
        <is>
          <t>2024-04-04</t>
        </is>
      </c>
      <c r="C84" s="22" t="inlineStr">
        <is>
          <t>2024</t>
        </is>
      </c>
      <c r="D84" s="22" t="inlineStr">
        <is>
          <t>2024-04</t>
        </is>
      </c>
      <c r="E84" s="22" t="inlineStr">
        <is>
          <t>Адаменко Олесь</t>
        </is>
      </c>
      <c r="F84" s="22" t="inlineStr">
        <is>
          <t>Створення навчальних матеріалів📚</t>
        </is>
      </c>
      <c r="G84" s="22" t="inlineStr">
        <is>
          <t>Створення навчальних відео</t>
        </is>
      </c>
      <c r="H84" s="23" t="n">
        <v>1</v>
      </c>
      <c r="I84" s="23" t="n">
        <v>1.8833</v>
      </c>
      <c r="J84" s="23">
        <f>I84-H84</f>
        <v/>
      </c>
      <c r="K84" s="22" t="inlineStr">
        <is>
          <t>частково виставлено</t>
        </is>
      </c>
      <c r="L84" s="24">
        <f>INDEX(Ставки!$C$2:$C$44,MATCH(D84,Ставки!$A$2:$A$44,0))</f>
        <v/>
      </c>
      <c r="M84" s="24">
        <f>J84*L84</f>
        <v/>
      </c>
      <c r="N84" s="22" t="inlineStr"/>
    </row>
    <row r="85">
      <c r="A85" s="22" t="n">
        <v>23201</v>
      </c>
      <c r="B85" s="22" t="inlineStr">
        <is>
          <t>2024-04-09</t>
        </is>
      </c>
      <c r="C85" s="22" t="inlineStr">
        <is>
          <t>2024</t>
        </is>
      </c>
      <c r="D85" s="22" t="inlineStr">
        <is>
          <t>2024-04</t>
        </is>
      </c>
      <c r="E85" s="22" t="inlineStr">
        <is>
          <t>Задорожна Катерина</t>
        </is>
      </c>
      <c r="F85" s="22" t="inlineStr">
        <is>
          <t>Доопрацювання: обов'язкове поле + всі існуючі віхи</t>
        </is>
      </c>
      <c r="G85" s="22" t="inlineStr">
        <is>
          <t>Розробка</t>
        </is>
      </c>
      <c r="H85" s="23" t="n">
        <v>2</v>
      </c>
      <c r="I85" s="23" t="n">
        <v>2.5</v>
      </c>
      <c r="J85" s="23">
        <f>I85-H85</f>
        <v/>
      </c>
      <c r="K85" s="22" t="inlineStr">
        <is>
          <t>частково виставлено</t>
        </is>
      </c>
      <c r="L85" s="24">
        <f>INDEX(Ставки!$C$2:$C$44,MATCH(D85,Ставки!$A$2:$A$44,0))</f>
        <v/>
      </c>
      <c r="M85" s="24">
        <f>J85*L85</f>
        <v/>
      </c>
      <c r="N85" s="22" t="inlineStr"/>
    </row>
    <row r="86">
      <c r="A86" s="22" t="n">
        <v>23197</v>
      </c>
      <c r="B86" s="22" t="inlineStr">
        <is>
          <t>2024-04-10</t>
        </is>
      </c>
      <c r="C86" s="22" t="inlineStr">
        <is>
          <t>2024</t>
        </is>
      </c>
      <c r="D86" s="22" t="inlineStr">
        <is>
          <t>2024-04</t>
        </is>
      </c>
      <c r="E86" s="22" t="inlineStr">
        <is>
          <t>Адаменко Олесь</t>
        </is>
      </c>
      <c r="F86" s="22" t="inlineStr">
        <is>
          <t>Доопрацювання: обов'язкове поле + всі існуючі віхи</t>
        </is>
      </c>
      <c r="G86" s="22" t="inlineStr">
        <is>
          <t>Тестування</t>
        </is>
      </c>
      <c r="H86" s="23" t="n">
        <v>0.25</v>
      </c>
      <c r="I86" s="23" t="n">
        <v>0.35</v>
      </c>
      <c r="J86" s="23">
        <f>I86-H86</f>
        <v/>
      </c>
      <c r="K86" s="22" t="inlineStr">
        <is>
          <t>частково виставлено</t>
        </is>
      </c>
      <c r="L86" s="24">
        <f>INDEX(Ставки!$C$2:$C$44,MATCH(D86,Ставки!$A$2:$A$44,0))</f>
        <v/>
      </c>
      <c r="M86" s="24">
        <f>J86*L86</f>
        <v/>
      </c>
      <c r="N86" s="22" t="inlineStr"/>
    </row>
    <row r="87">
      <c r="A87" s="22" t="n">
        <v>23224</v>
      </c>
      <c r="B87" s="22" t="inlineStr">
        <is>
          <t>2024-04-10</t>
        </is>
      </c>
      <c r="C87" s="22" t="inlineStr">
        <is>
          <t>2024</t>
        </is>
      </c>
      <c r="D87" s="22" t="inlineStr">
        <is>
          <t>2024-04</t>
        </is>
      </c>
      <c r="E87" s="22" t="inlineStr">
        <is>
          <t>Адаменко Олесь</t>
        </is>
      </c>
      <c r="F87" s="22" t="inlineStr">
        <is>
          <t>Щотижнева зустріч з замовником</t>
        </is>
      </c>
      <c r="G87" s="22" t="inlineStr">
        <is>
          <t>Презентація управлінського обліку</t>
        </is>
      </c>
      <c r="H87" s="23" t="n">
        <v>0</v>
      </c>
      <c r="I87" s="23" t="n">
        <v>0.4333</v>
      </c>
      <c r="J87" s="23">
        <f>I87-H87</f>
        <v/>
      </c>
      <c r="K87" s="22" t="inlineStr">
        <is>
          <t>безкоштовно (виставлено 0)</t>
        </is>
      </c>
      <c r="L87" s="24">
        <f>INDEX(Ставки!$C$2:$C$44,MATCH(D87,Ставки!$A$2:$A$44,0))</f>
        <v/>
      </c>
      <c r="M87" s="24">
        <f>J87*L87</f>
        <v/>
      </c>
      <c r="N87" s="22" t="inlineStr"/>
    </row>
    <row r="88">
      <c r="A88" s="22" t="n">
        <v>23225</v>
      </c>
      <c r="B88" s="22" t="inlineStr">
        <is>
          <t>2024-04-10</t>
        </is>
      </c>
      <c r="C88" s="22" t="inlineStr">
        <is>
          <t>2024</t>
        </is>
      </c>
      <c r="D88" s="22" t="inlineStr">
        <is>
          <t>2024-04</t>
        </is>
      </c>
      <c r="E88" s="22" t="inlineStr">
        <is>
          <t>Адаменко Олесь</t>
        </is>
      </c>
      <c r="F88" s="22" t="inlineStr">
        <is>
          <t>Доопрацювання: обов'язкове поле + всі існуючі віхи</t>
        </is>
      </c>
      <c r="G88" s="22" t="inlineStr">
        <is>
          <t>Здача роботи</t>
        </is>
      </c>
      <c r="H88" s="23" t="n">
        <v>0.25</v>
      </c>
      <c r="I88" s="23" t="n">
        <v>0.2667</v>
      </c>
      <c r="J88" s="23">
        <f>I88-H88</f>
        <v/>
      </c>
      <c r="K88" s="22" t="inlineStr">
        <is>
          <t>частково виставлено</t>
        </is>
      </c>
      <c r="L88" s="24">
        <f>INDEX(Ставки!$C$2:$C$44,MATCH(D88,Ставки!$A$2:$A$44,0))</f>
        <v/>
      </c>
      <c r="M88" s="24">
        <f>J88*L88</f>
        <v/>
      </c>
      <c r="N88" s="22" t="inlineStr"/>
    </row>
    <row r="89">
      <c r="A89" s="22" t="n">
        <v>23257</v>
      </c>
      <c r="B89" s="22" t="inlineStr">
        <is>
          <t>2024-04-11</t>
        </is>
      </c>
      <c r="C89" s="22" t="inlineStr">
        <is>
          <t>2024</t>
        </is>
      </c>
      <c r="D89" s="22" t="inlineStr">
        <is>
          <t>2024-04</t>
        </is>
      </c>
      <c r="E89" s="22" t="inlineStr">
        <is>
          <t>Задорожна Катерина</t>
        </is>
      </c>
      <c r="F89" s="22" t="inlineStr">
        <is>
          <t>Доопрацювання:Створення зв'язків між віхами проектів з шаблонними проектами та товарами</t>
        </is>
      </c>
      <c r="G89" s="22" t="inlineStr">
        <is>
          <t>4 крок</t>
        </is>
      </c>
      <c r="H89" s="23" t="n">
        <v>0.25</v>
      </c>
      <c r="I89" s="23" t="n">
        <v>0.5</v>
      </c>
      <c r="J89" s="23">
        <f>I89-H89</f>
        <v/>
      </c>
      <c r="K89" s="22" t="inlineStr">
        <is>
          <t>частково виставлено</t>
        </is>
      </c>
      <c r="L89" s="24">
        <f>INDEX(Ставки!$C$2:$C$44,MATCH(D89,Ставки!$A$2:$A$44,0))</f>
        <v/>
      </c>
      <c r="M89" s="24">
        <f>J89*L89</f>
        <v/>
      </c>
      <c r="N89" s="22" t="inlineStr"/>
    </row>
    <row r="90">
      <c r="A90" s="22" t="n">
        <v>23283</v>
      </c>
      <c r="B90" s="22" t="inlineStr">
        <is>
          <t>2024-04-11</t>
        </is>
      </c>
      <c r="C90" s="22" t="inlineStr">
        <is>
          <t>2024</t>
        </is>
      </c>
      <c r="D90" s="22" t="inlineStr">
        <is>
          <t>2024-04</t>
        </is>
      </c>
      <c r="E90" s="22" t="inlineStr">
        <is>
          <t>Адаменко Олесь</t>
        </is>
      </c>
      <c r="F90" s="22" t="inlineStr">
        <is>
          <t>Доопрацювання:Створення зв'язків між віхами проектів з шаблонними проектами та товарами</t>
        </is>
      </c>
      <c r="G90" s="22" t="inlineStr">
        <is>
          <t>доопрацювання ТЗ</t>
        </is>
      </c>
      <c r="H90" s="23" t="n">
        <v>0.25</v>
      </c>
      <c r="I90" s="23" t="n">
        <v>0.2667</v>
      </c>
      <c r="J90" s="23">
        <f>I90-H90</f>
        <v/>
      </c>
      <c r="K90" s="22" t="inlineStr">
        <is>
          <t>частково виставлено</t>
        </is>
      </c>
      <c r="L90" s="24">
        <f>INDEX(Ставки!$C$2:$C$44,MATCH(D90,Ставки!$A$2:$A$44,0))</f>
        <v/>
      </c>
      <c r="M90" s="24">
        <f>J90*L90</f>
        <v/>
      </c>
      <c r="N90" s="22" t="inlineStr"/>
    </row>
    <row r="91">
      <c r="A91" s="22" t="n">
        <v>23397</v>
      </c>
      <c r="B91" s="22" t="inlineStr">
        <is>
          <t>2024-04-11</t>
        </is>
      </c>
      <c r="C91" s="22" t="inlineStr">
        <is>
          <t>2024</t>
        </is>
      </c>
      <c r="D91" s="22" t="inlineStr">
        <is>
          <t>2024-04</t>
        </is>
      </c>
      <c r="E91" s="22" t="inlineStr">
        <is>
          <t>Волохов Максим</t>
        </is>
      </c>
      <c r="F91" s="22" t="inlineStr">
        <is>
          <t>Питання: сповіщенням по діям в чатері та задачам.</t>
        </is>
      </c>
      <c r="G91" s="22" t="inlineStr">
        <is>
          <t>Розбір проблеми +інструкція</t>
        </is>
      </c>
      <c r="H91" s="23" t="n">
        <v>1.25</v>
      </c>
      <c r="I91" s="23" t="n">
        <v>1.3333</v>
      </c>
      <c r="J91" s="23">
        <f>I91-H91</f>
        <v/>
      </c>
      <c r="K91" s="22" t="inlineStr">
        <is>
          <t>частково виставлено</t>
        </is>
      </c>
      <c r="L91" s="24">
        <f>INDEX(Ставки!$C$2:$C$44,MATCH(D91,Ставки!$A$2:$A$44,0))</f>
        <v/>
      </c>
      <c r="M91" s="24">
        <f>J91*L91</f>
        <v/>
      </c>
      <c r="N91" s="22" t="inlineStr"/>
    </row>
    <row r="92">
      <c r="A92" s="22" t="n">
        <v>23291</v>
      </c>
      <c r="B92" s="22" t="inlineStr">
        <is>
          <t>2024-04-14</t>
        </is>
      </c>
      <c r="C92" s="22" t="inlineStr">
        <is>
          <t>2024</t>
        </is>
      </c>
      <c r="D92" s="22" t="inlineStr">
        <is>
          <t>2024-04</t>
        </is>
      </c>
      <c r="E92" s="22" t="inlineStr">
        <is>
          <t>Задорожна Катерина</t>
        </is>
      </c>
      <c r="F92" s="22" t="inlineStr">
        <is>
          <t>Доопрацювання:Створення зв'язків між віхами проектів з шаблонними проектами та товарами</t>
        </is>
      </c>
      <c r="G92" s="22" t="inlineStr">
        <is>
          <t>Розробка</t>
        </is>
      </c>
      <c r="H92" s="23" t="n">
        <v>1.75</v>
      </c>
      <c r="I92" s="23" t="n">
        <v>2</v>
      </c>
      <c r="J92" s="23">
        <f>I92-H92</f>
        <v/>
      </c>
      <c r="K92" s="22" t="inlineStr">
        <is>
          <t>частково виставлено</t>
        </is>
      </c>
      <c r="L92" s="24">
        <f>INDEX(Ставки!$C$2:$C$44,MATCH(D92,Ставки!$A$2:$A$44,0))</f>
        <v/>
      </c>
      <c r="M92" s="24">
        <f>J92*L92</f>
        <v/>
      </c>
      <c r="N92" s="22" t="inlineStr"/>
    </row>
    <row r="93">
      <c r="A93" s="22" t="n">
        <v>23431</v>
      </c>
      <c r="B93" s="22" t="inlineStr">
        <is>
          <t>2024-04-17</t>
        </is>
      </c>
      <c r="C93" s="22" t="inlineStr">
        <is>
          <t>2024</t>
        </is>
      </c>
      <c r="D93" s="22" t="inlineStr">
        <is>
          <t>2024-04</t>
        </is>
      </c>
      <c r="E93" s="22" t="inlineStr">
        <is>
          <t>Задорожна Катерина</t>
        </is>
      </c>
      <c r="F93" s="22" t="inlineStr">
        <is>
          <t>Доопрацювання: додавання нової комерційної в існуючий проект</t>
        </is>
      </c>
      <c r="G93" s="22" t="inlineStr">
        <is>
          <t>/</t>
        </is>
      </c>
      <c r="H93" s="23" t="n">
        <v>4</v>
      </c>
      <c r="I93" s="23" t="n">
        <v>4.5</v>
      </c>
      <c r="J93" s="23">
        <f>I93-H93</f>
        <v/>
      </c>
      <c r="K93" s="22" t="inlineStr">
        <is>
          <t>частково виставлено</t>
        </is>
      </c>
      <c r="L93" s="24">
        <f>INDEX(Ставки!$C$2:$C$44,MATCH(D93,Ставки!$A$2:$A$44,0))</f>
        <v/>
      </c>
      <c r="M93" s="24">
        <f>J93*L93</f>
        <v/>
      </c>
      <c r="N93" s="22" t="inlineStr"/>
    </row>
    <row r="94">
      <c r="A94" s="22" t="n">
        <v>23673</v>
      </c>
      <c r="B94" s="22" t="inlineStr">
        <is>
          <t>2024-04-17</t>
        </is>
      </c>
      <c r="C94" s="22" t="inlineStr">
        <is>
          <t>2024</t>
        </is>
      </c>
      <c r="D94" s="22" t="inlineStr">
        <is>
          <t>2024-04</t>
        </is>
      </c>
      <c r="E94" s="22" t="inlineStr">
        <is>
          <t>Шаталюк Владислав</t>
        </is>
      </c>
      <c r="F94" s="22" t="inlineStr">
        <is>
          <t>Доопрацювання:Створення зв'язків між віхами проектів з шаблонними проектами та товарами</t>
        </is>
      </c>
      <c r="G94" s="22" t="inlineStr">
        <is>
          <t>Тестування</t>
        </is>
      </c>
      <c r="H94" s="23" t="n">
        <v>0.75</v>
      </c>
      <c r="I94" s="23" t="n">
        <v>1</v>
      </c>
      <c r="J94" s="23">
        <f>I94-H94</f>
        <v/>
      </c>
      <c r="K94" s="22" t="inlineStr">
        <is>
          <t>частково виставлено</t>
        </is>
      </c>
      <c r="L94" s="24">
        <f>INDEX(Ставки!$C$2:$C$44,MATCH(D94,Ставки!$A$2:$A$44,0))</f>
        <v/>
      </c>
      <c r="M94" s="24">
        <f>J94*L94</f>
        <v/>
      </c>
      <c r="N94" s="22" t="inlineStr"/>
    </row>
    <row r="95">
      <c r="A95" s="22" t="n">
        <v>23542</v>
      </c>
      <c r="B95" s="22" t="inlineStr">
        <is>
          <t>2024-04-21</t>
        </is>
      </c>
      <c r="C95" s="22" t="inlineStr">
        <is>
          <t>2024</t>
        </is>
      </c>
      <c r="D95" s="22" t="inlineStr">
        <is>
          <t>2024-04</t>
        </is>
      </c>
      <c r="E95" s="22" t="inlineStr">
        <is>
          <t>Шаталюк Владислав</t>
        </is>
      </c>
      <c r="F95" s="22" t="inlineStr">
        <is>
          <t>Доопрацювання: додавання нової комерційної в існуючий проект</t>
        </is>
      </c>
      <c r="G95" s="22" t="inlineStr">
        <is>
          <t>Тестування</t>
        </is>
      </c>
      <c r="H95" s="23" t="n">
        <v>0.75</v>
      </c>
      <c r="I95" s="23" t="n">
        <v>1</v>
      </c>
      <c r="J95" s="23">
        <f>I95-H95</f>
        <v/>
      </c>
      <c r="K95" s="22" t="inlineStr">
        <is>
          <t>частково виставлено</t>
        </is>
      </c>
      <c r="L95" s="24">
        <f>INDEX(Ставки!$C$2:$C$44,MATCH(D95,Ставки!$A$2:$A$44,0))</f>
        <v/>
      </c>
      <c r="M95" s="24">
        <f>J95*L95</f>
        <v/>
      </c>
      <c r="N95" s="22" t="inlineStr"/>
    </row>
    <row r="96">
      <c r="A96" s="22" t="n">
        <v>23692</v>
      </c>
      <c r="B96" s="22" t="inlineStr">
        <is>
          <t>2024-04-24</t>
        </is>
      </c>
      <c r="C96" s="22" t="inlineStr">
        <is>
          <t>2024</t>
        </is>
      </c>
      <c r="D96" s="22" t="inlineStr">
        <is>
          <t>2024-04</t>
        </is>
      </c>
      <c r="E96" s="22" t="inlineStr">
        <is>
          <t>Шаталюк Владислав</t>
        </is>
      </c>
      <c r="F96" s="22" t="inlineStr">
        <is>
          <t>Щотижнева зустріч з замовником</t>
        </is>
      </c>
      <c r="G96" s="22" t="inlineStr">
        <is>
          <t>Щотижнева зустріч</t>
        </is>
      </c>
      <c r="H96" s="23" t="n">
        <v>0.75</v>
      </c>
      <c r="I96" s="23" t="n">
        <v>0.8333</v>
      </c>
      <c r="J96" s="23">
        <f>I96-H96</f>
        <v/>
      </c>
      <c r="K96" s="22" t="inlineStr">
        <is>
          <t>частково виставлено</t>
        </is>
      </c>
      <c r="L96" s="24">
        <f>INDEX(Ставки!$C$2:$C$44,MATCH(D96,Ставки!$A$2:$A$44,0))</f>
        <v/>
      </c>
      <c r="M96" s="24">
        <f>J96*L96</f>
        <v/>
      </c>
      <c r="N96" s="22" t="inlineStr"/>
    </row>
    <row r="97">
      <c r="A97" s="22" t="n">
        <v>23869</v>
      </c>
      <c r="B97" s="22" t="inlineStr">
        <is>
          <t>2024-04-26</t>
        </is>
      </c>
      <c r="C97" s="22" t="inlineStr">
        <is>
          <t>2024</t>
        </is>
      </c>
      <c r="D97" s="22" t="inlineStr">
        <is>
          <t>2024-04</t>
        </is>
      </c>
      <c r="E97" s="22" t="inlineStr">
        <is>
          <t>Адаменко Олесь</t>
        </is>
      </c>
      <c r="F97" s="22" t="inlineStr">
        <is>
          <t>Проблема: Відмінності в кількіості годин в табелі та в задачах</t>
        </is>
      </c>
      <c r="G97" s="22" t="inlineStr">
        <is>
          <t>Аналіз</t>
        </is>
      </c>
      <c r="H97" s="23" t="n">
        <v>0.5</v>
      </c>
      <c r="I97" s="23" t="n">
        <v>0.5167</v>
      </c>
      <c r="J97" s="23">
        <f>I97-H97</f>
        <v/>
      </c>
      <c r="K97" s="22" t="inlineStr">
        <is>
          <t>частково виставлено</t>
        </is>
      </c>
      <c r="L97" s="24">
        <f>INDEX(Ставки!$C$2:$C$44,MATCH(D97,Ставки!$A$2:$A$44,0))</f>
        <v/>
      </c>
      <c r="M97" s="24">
        <f>J97*L97</f>
        <v/>
      </c>
      <c r="N97" s="22" t="inlineStr"/>
    </row>
    <row r="98">
      <c r="A98" s="22" t="n">
        <v>24615</v>
      </c>
      <c r="B98" s="22" t="inlineStr">
        <is>
          <t>2024-05-15</t>
        </is>
      </c>
      <c r="C98" s="22" t="inlineStr">
        <is>
          <t>2024</t>
        </is>
      </c>
      <c r="D98" s="22" t="inlineStr">
        <is>
          <t>2024-05</t>
        </is>
      </c>
      <c r="E98" s="22" t="inlineStr">
        <is>
          <t>Адаменко Олесь</t>
        </is>
      </c>
      <c r="F98" s="22" t="inlineStr">
        <is>
          <t>Щотижнева зустріч з замовником</t>
        </is>
      </c>
      <c r="G98" s="22" t="inlineStr">
        <is>
          <t>Стаутсна зустріч</t>
        </is>
      </c>
      <c r="H98" s="23" t="n">
        <v>0.25</v>
      </c>
      <c r="I98" s="23" t="n">
        <v>0.3</v>
      </c>
      <c r="J98" s="23">
        <f>I98-H98</f>
        <v/>
      </c>
      <c r="K98" s="22" t="inlineStr">
        <is>
          <t>частково виставлено</t>
        </is>
      </c>
      <c r="L98" s="24">
        <f>INDEX(Ставки!$C$2:$C$44,MATCH(D98,Ставки!$A$2:$A$44,0))</f>
        <v/>
      </c>
      <c r="M98" s="24">
        <f>J98*L98</f>
        <v/>
      </c>
      <c r="N98" s="22" t="inlineStr"/>
    </row>
    <row r="99">
      <c r="A99" s="22" t="n">
        <v>24718</v>
      </c>
      <c r="B99" s="22" t="inlineStr">
        <is>
          <t>2024-05-16</t>
        </is>
      </c>
      <c r="C99" s="22" t="inlineStr">
        <is>
          <t>2024</t>
        </is>
      </c>
      <c r="D99" s="22" t="inlineStr">
        <is>
          <t>2024-05</t>
        </is>
      </c>
      <c r="E99" s="22" t="inlineStr">
        <is>
          <t>Пусташинський Юрій</t>
        </is>
      </c>
      <c r="F99" s="22" t="inlineStr">
        <is>
          <t>Проблема: Відображення воронки задач</t>
        </is>
      </c>
      <c r="G99" s="22" t="inlineStr">
        <is>
          <t>Пошук проблеми</t>
        </is>
      </c>
      <c r="H99" s="23" t="n">
        <v>2</v>
      </c>
      <c r="I99" s="23" t="n">
        <v>5</v>
      </c>
      <c r="J99" s="23">
        <f>I99-H99</f>
        <v/>
      </c>
      <c r="K99" s="22" t="inlineStr">
        <is>
          <t>частково виставлено</t>
        </is>
      </c>
      <c r="L99" s="24">
        <f>INDEX(Ставки!$C$2:$C$44,MATCH(D99,Ставки!$A$2:$A$44,0))</f>
        <v/>
      </c>
      <c r="M99" s="24">
        <f>J99*L99</f>
        <v/>
      </c>
      <c r="N99" s="22" t="inlineStr"/>
    </row>
    <row r="100">
      <c r="A100" s="22" t="n">
        <v>24714</v>
      </c>
      <c r="B100" s="22" t="inlineStr">
        <is>
          <t>2024-05-17</t>
        </is>
      </c>
      <c r="C100" s="22" t="inlineStr">
        <is>
          <t>2024</t>
        </is>
      </c>
      <c r="D100" s="22" t="inlineStr">
        <is>
          <t>2024-05</t>
        </is>
      </c>
      <c r="E100" s="22" t="inlineStr">
        <is>
          <t>Адаменко Олесь</t>
        </is>
      </c>
      <c r="F100" s="22" t="inlineStr">
        <is>
          <t>Доопрацювання: Видалити усі пусті віхи</t>
        </is>
      </c>
      <c r="G100" s="22" t="inlineStr">
        <is>
          <t>Розробка архітектури рішення</t>
        </is>
      </c>
      <c r="H100" s="23" t="n">
        <v>0.25</v>
      </c>
      <c r="I100" s="23" t="n">
        <v>0.5</v>
      </c>
      <c r="J100" s="23">
        <f>I100-H100</f>
        <v/>
      </c>
      <c r="K100" s="22" t="inlineStr">
        <is>
          <t>частково виставлено</t>
        </is>
      </c>
      <c r="L100" s="24">
        <f>INDEX(Ставки!$C$2:$C$44,MATCH(D100,Ставки!$A$2:$A$44,0))</f>
        <v/>
      </c>
      <c r="M100" s="24">
        <f>J100*L100</f>
        <v/>
      </c>
      <c r="N100" s="22" t="inlineStr"/>
    </row>
    <row r="101">
      <c r="A101" s="22" t="n">
        <v>24715</v>
      </c>
      <c r="B101" s="22" t="inlineStr">
        <is>
          <t>2024-05-17</t>
        </is>
      </c>
      <c r="C101" s="22" t="inlineStr">
        <is>
          <t>2024</t>
        </is>
      </c>
      <c r="D101" s="22" t="inlineStr">
        <is>
          <t>2024-05</t>
        </is>
      </c>
      <c r="E101" s="22" t="inlineStr">
        <is>
          <t>Задорожна Катерина</t>
        </is>
      </c>
      <c r="F101" s="22" t="inlineStr">
        <is>
          <t>Доопрацювання: Видалити усі пусті віхи</t>
        </is>
      </c>
      <c r="G101" s="22" t="inlineStr">
        <is>
          <t>Розробка архітектури рішення</t>
        </is>
      </c>
      <c r="H101" s="23" t="n">
        <v>0.25</v>
      </c>
      <c r="I101" s="23" t="n">
        <v>0.5</v>
      </c>
      <c r="J101" s="23">
        <f>I101-H101</f>
        <v/>
      </c>
      <c r="K101" s="22" t="inlineStr">
        <is>
          <t>частково виставлено</t>
        </is>
      </c>
      <c r="L101" s="24">
        <f>INDEX(Ставки!$C$2:$C$44,MATCH(D101,Ставки!$A$2:$A$44,0))</f>
        <v/>
      </c>
      <c r="M101" s="24">
        <f>J101*L101</f>
        <v/>
      </c>
      <c r="N101" s="22" t="inlineStr"/>
    </row>
    <row r="102">
      <c r="A102" s="22" t="n">
        <v>24773</v>
      </c>
      <c r="B102" s="22" t="inlineStr">
        <is>
          <t>2024-05-20</t>
        </is>
      </c>
      <c r="C102" s="22" t="inlineStr">
        <is>
          <t>2024</t>
        </is>
      </c>
      <c r="D102" s="22" t="inlineStr">
        <is>
          <t>2024-05</t>
        </is>
      </c>
      <c r="E102" s="22" t="inlineStr">
        <is>
          <t>Волохов Максим</t>
        </is>
      </c>
      <c r="F102" s="22" t="inlineStr">
        <is>
          <t>Перевірити усі шаблонні проекти у продакшн базі</t>
        </is>
      </c>
      <c r="G102" s="22" t="inlineStr">
        <is>
          <t>Перевірити усі шаблонні проекти у продакшн базі</t>
        </is>
      </c>
      <c r="H102" s="23" t="n">
        <v>1</v>
      </c>
      <c r="I102" s="23" t="n">
        <v>1.0167</v>
      </c>
      <c r="J102" s="23">
        <f>I102-H102</f>
        <v/>
      </c>
      <c r="K102" s="22" t="inlineStr">
        <is>
          <t>частково виставлено</t>
        </is>
      </c>
      <c r="L102" s="24">
        <f>INDEX(Ставки!$C$2:$C$44,MATCH(D102,Ставки!$A$2:$A$44,0))</f>
        <v/>
      </c>
      <c r="M102" s="24">
        <f>J102*L102</f>
        <v/>
      </c>
      <c r="N102" s="22" t="inlineStr"/>
    </row>
    <row r="103">
      <c r="A103" s="22" t="n">
        <v>24784</v>
      </c>
      <c r="B103" s="22" t="inlineStr">
        <is>
          <t>2024-05-20</t>
        </is>
      </c>
      <c r="C103" s="22" t="inlineStr">
        <is>
          <t>2024</t>
        </is>
      </c>
      <c r="D103" s="22" t="inlineStr">
        <is>
          <t>2024-05</t>
        </is>
      </c>
      <c r="E103" s="22" t="inlineStr">
        <is>
          <t>Адаменко Олесь</t>
        </is>
      </c>
      <c r="F103" s="22" t="inlineStr">
        <is>
          <t>Щотижнева зустріч з замовником</t>
        </is>
      </c>
      <c r="G103" s="22" t="inlineStr">
        <is>
          <t>Ведення проекту: план проекту, тестування задач</t>
        </is>
      </c>
      <c r="H103" s="23" t="n">
        <v>0.25</v>
      </c>
      <c r="I103" s="23" t="n">
        <v>0.3167</v>
      </c>
      <c r="J103" s="23">
        <f>I103-H103</f>
        <v/>
      </c>
      <c r="K103" s="22" t="inlineStr">
        <is>
          <t>частково виставлено</t>
        </is>
      </c>
      <c r="L103" s="24">
        <f>INDEX(Ставки!$C$2:$C$44,MATCH(D103,Ставки!$A$2:$A$44,0))</f>
        <v/>
      </c>
      <c r="M103" s="24">
        <f>J103*L103</f>
        <v/>
      </c>
      <c r="N103" s="22" t="inlineStr"/>
    </row>
    <row r="104">
      <c r="A104" s="22" t="n">
        <v>24794</v>
      </c>
      <c r="B104" s="22" t="inlineStr">
        <is>
          <t>2024-05-21</t>
        </is>
      </c>
      <c r="C104" s="22" t="inlineStr">
        <is>
          <t>2024</t>
        </is>
      </c>
      <c r="D104" s="22" t="inlineStr">
        <is>
          <t>2024-05</t>
        </is>
      </c>
      <c r="E104" s="22" t="inlineStr">
        <is>
          <t>Задорожна Катерина</t>
        </is>
      </c>
      <c r="F104" s="22" t="inlineStr">
        <is>
          <t>Доопрацювання: wizard переназначення віхи</t>
        </is>
      </c>
      <c r="G104" s="22" t="inlineStr">
        <is>
          <t>/</t>
        </is>
      </c>
      <c r="H104" s="23" t="n">
        <v>3</v>
      </c>
      <c r="I104" s="23" t="n">
        <v>4.5</v>
      </c>
      <c r="J104" s="23">
        <f>I104-H104</f>
        <v/>
      </c>
      <c r="K104" s="22" t="inlineStr">
        <is>
          <t>частково виставлено</t>
        </is>
      </c>
      <c r="L104" s="24">
        <f>INDEX(Ставки!$C$2:$C$44,MATCH(D104,Ставки!$A$2:$A$44,0))</f>
        <v/>
      </c>
      <c r="M104" s="24">
        <f>J104*L104</f>
        <v/>
      </c>
      <c r="N104" s="22" t="inlineStr"/>
    </row>
    <row r="105">
      <c r="A105" s="22" t="n">
        <v>24850</v>
      </c>
      <c r="B105" s="22" t="inlineStr">
        <is>
          <t>2024-05-22</t>
        </is>
      </c>
      <c r="C105" s="22" t="inlineStr">
        <is>
          <t>2024</t>
        </is>
      </c>
      <c r="D105" s="22" t="inlineStr">
        <is>
          <t>2024-05</t>
        </is>
      </c>
      <c r="E105" s="22" t="inlineStr">
        <is>
          <t>Волохов Максим</t>
        </is>
      </c>
      <c r="F105" s="22" t="inlineStr">
        <is>
          <t>Проблема: додавання усіх віх в проект при підтвердженні комерційної</t>
        </is>
      </c>
      <c r="G105" s="22" t="inlineStr">
        <is>
          <t>Вирішення проблематики: Додавання усіх віх в проект при підтвердженні комерційної</t>
        </is>
      </c>
      <c r="H105" s="23" t="n">
        <v>1</v>
      </c>
      <c r="I105" s="23" t="n">
        <v>2.5</v>
      </c>
      <c r="J105" s="23">
        <f>I105-H105</f>
        <v/>
      </c>
      <c r="K105" s="22" t="inlineStr">
        <is>
          <t>частково виставлено</t>
        </is>
      </c>
      <c r="L105" s="24">
        <f>INDEX(Ставки!$C$2:$C$44,MATCH(D105,Ставки!$A$2:$A$44,0))</f>
        <v/>
      </c>
      <c r="M105" s="24">
        <f>J105*L105</f>
        <v/>
      </c>
      <c r="N105" s="22" t="inlineStr"/>
    </row>
    <row r="106">
      <c r="A106" s="22" t="n">
        <v>25049</v>
      </c>
      <c r="B106" s="22" t="inlineStr">
        <is>
          <t>2024-05-27</t>
        </is>
      </c>
      <c r="C106" s="22" t="inlineStr">
        <is>
          <t>2024</t>
        </is>
      </c>
      <c r="D106" s="22" t="inlineStr">
        <is>
          <t>2024-05</t>
        </is>
      </c>
      <c r="E106" s="22" t="inlineStr">
        <is>
          <t>Задорожна Катерина</t>
        </is>
      </c>
      <c r="F106" s="22" t="inlineStr">
        <is>
          <t>Доопрацювання: переназначення невірних послуг</t>
        </is>
      </c>
      <c r="G106" s="22" t="inlineStr">
        <is>
          <t>Аналіз проблеми. Пошук причини</t>
        </is>
      </c>
      <c r="H106" s="23" t="n">
        <v>0.25</v>
      </c>
      <c r="I106" s="23" t="n">
        <v>0.6667</v>
      </c>
      <c r="J106" s="23">
        <f>I106-H106</f>
        <v/>
      </c>
      <c r="K106" s="22" t="inlineStr">
        <is>
          <t>частково виставлено</t>
        </is>
      </c>
      <c r="L106" s="24">
        <f>INDEX(Ставки!$C$2:$C$44,MATCH(D106,Ставки!$A$2:$A$44,0))</f>
        <v/>
      </c>
      <c r="M106" s="24">
        <f>J106*L106</f>
        <v/>
      </c>
      <c r="N106" s="22" t="inlineStr"/>
    </row>
    <row r="107">
      <c r="A107" s="22" t="n">
        <v>25050</v>
      </c>
      <c r="B107" s="22" t="inlineStr">
        <is>
          <t>2024-05-27</t>
        </is>
      </c>
      <c r="C107" s="22" t="inlineStr">
        <is>
          <t>2024</t>
        </is>
      </c>
      <c r="D107" s="22" t="inlineStr">
        <is>
          <t>2024-05</t>
        </is>
      </c>
      <c r="E107" s="22" t="inlineStr">
        <is>
          <t>Волохов Максим</t>
        </is>
      </c>
      <c r="F107" s="22" t="inlineStr">
        <is>
          <t>Доопрацювання: переназначення невірних послуг</t>
        </is>
      </c>
      <c r="G107" s="22" t="inlineStr">
        <is>
          <t>Аналіз проблеми. Пошук причини</t>
        </is>
      </c>
      <c r="H107" s="23" t="n">
        <v>0.25</v>
      </c>
      <c r="I107" s="23" t="n">
        <v>0.6667</v>
      </c>
      <c r="J107" s="23">
        <f>I107-H107</f>
        <v/>
      </c>
      <c r="K107" s="22" t="inlineStr">
        <is>
          <t>частково виставлено</t>
        </is>
      </c>
      <c r="L107" s="24">
        <f>INDEX(Ставки!$C$2:$C$44,MATCH(D107,Ставки!$A$2:$A$44,0))</f>
        <v/>
      </c>
      <c r="M107" s="24">
        <f>J107*L107</f>
        <v/>
      </c>
      <c r="N107" s="22" t="inlineStr"/>
    </row>
    <row r="108">
      <c r="A108" s="22" t="n">
        <v>25153</v>
      </c>
      <c r="B108" s="22" t="inlineStr">
        <is>
          <t>2024-05-29</t>
        </is>
      </c>
      <c r="C108" s="22" t="inlineStr">
        <is>
          <t>2024</t>
        </is>
      </c>
      <c r="D108" s="22" t="inlineStr">
        <is>
          <t>2024-05</t>
        </is>
      </c>
      <c r="E108" s="22" t="inlineStr">
        <is>
          <t>Адаменко Олесь</t>
        </is>
      </c>
      <c r="F108" s="22" t="inlineStr">
        <is>
          <t>Створення навчальних матеріалів📚</t>
        </is>
      </c>
      <c r="G108" s="22" t="inlineStr">
        <is>
          <t>Навчальне відео по виправленню послуги</t>
        </is>
      </c>
      <c r="H108" s="23" t="n">
        <v>0.25</v>
      </c>
      <c r="I108" s="23" t="n">
        <v>0.6667</v>
      </c>
      <c r="J108" s="23">
        <f>I108-H108</f>
        <v/>
      </c>
      <c r="K108" s="22" t="inlineStr">
        <is>
          <t>частково виставлено</t>
        </is>
      </c>
      <c r="L108" s="24">
        <f>INDEX(Ставки!$C$2:$C$44,MATCH(D108,Ставки!$A$2:$A$44,0))</f>
        <v/>
      </c>
      <c r="M108" s="24">
        <f>J108*L108</f>
        <v/>
      </c>
      <c r="N108" s="22" t="inlineStr"/>
    </row>
    <row r="109">
      <c r="A109" s="22" t="n">
        <v>25155</v>
      </c>
      <c r="B109" s="22" t="inlineStr">
        <is>
          <t>2024-05-29</t>
        </is>
      </c>
      <c r="C109" s="22" t="inlineStr">
        <is>
          <t>2024</t>
        </is>
      </c>
      <c r="D109" s="22" t="inlineStr">
        <is>
          <t>2024-05</t>
        </is>
      </c>
      <c r="E109" s="22" t="inlineStr">
        <is>
          <t>Адаменко Олесь</t>
        </is>
      </c>
      <c r="F109" s="22" t="inlineStr">
        <is>
          <t>Доопрацювання: переназначення невірних послуг</t>
        </is>
      </c>
      <c r="G109" s="22" t="inlineStr">
        <is>
          <t>Виправлення проблеми вручну</t>
        </is>
      </c>
      <c r="H109" s="23" t="n">
        <v>0.5</v>
      </c>
      <c r="I109" s="23" t="n">
        <v>2.1833</v>
      </c>
      <c r="J109" s="23">
        <f>I109-H109</f>
        <v/>
      </c>
      <c r="K109" s="22" t="inlineStr">
        <is>
          <t>частково виставлено</t>
        </is>
      </c>
      <c r="L109" s="24">
        <f>INDEX(Ставки!$C$2:$C$44,MATCH(D109,Ставки!$A$2:$A$44,0))</f>
        <v/>
      </c>
      <c r="M109" s="24">
        <f>J109*L109</f>
        <v/>
      </c>
      <c r="N109" s="22" t="inlineStr"/>
    </row>
    <row r="110">
      <c r="A110" s="22" t="n">
        <v>25250</v>
      </c>
      <c r="B110" s="22" t="inlineStr">
        <is>
          <t>2024-05-30</t>
        </is>
      </c>
      <c r="C110" s="22" t="inlineStr">
        <is>
          <t>2024</t>
        </is>
      </c>
      <c r="D110" s="22" t="inlineStr">
        <is>
          <t>2024-05</t>
        </is>
      </c>
      <c r="E110" s="22" t="inlineStr">
        <is>
          <t>Волохов Максим</t>
        </is>
      </c>
      <c r="F110" s="22" t="inlineStr">
        <is>
          <t>Інструкції</t>
        </is>
      </c>
      <c r="G110" s="22" t="inlineStr">
        <is>
          <t>Написання по інструкції по кнопкам</t>
        </is>
      </c>
      <c r="H110" s="23" t="n">
        <v>0.25</v>
      </c>
      <c r="I110" s="23" t="n">
        <v>0.45</v>
      </c>
      <c r="J110" s="23">
        <f>I110-H110</f>
        <v/>
      </c>
      <c r="K110" s="22" t="inlineStr">
        <is>
          <t>частково виставлено</t>
        </is>
      </c>
      <c r="L110" s="24">
        <f>INDEX(Ставки!$C$2:$C$44,MATCH(D110,Ставки!$A$2:$A$44,0))</f>
        <v/>
      </c>
      <c r="M110" s="24">
        <f>J110*L110</f>
        <v/>
      </c>
      <c r="N110" s="22" t="inlineStr"/>
    </row>
    <row r="111">
      <c r="A111" s="22" t="n">
        <v>25266</v>
      </c>
      <c r="B111" s="22" t="inlineStr">
        <is>
          <t>2024-05-30</t>
        </is>
      </c>
      <c r="C111" s="22" t="inlineStr">
        <is>
          <t>2024</t>
        </is>
      </c>
      <c r="D111" s="22" t="inlineStr">
        <is>
          <t>2024-05</t>
        </is>
      </c>
      <c r="E111" s="22" t="inlineStr">
        <is>
          <t>Задорожна Катерина</t>
        </is>
      </c>
      <c r="F111" s="22" t="inlineStr">
        <is>
          <t>проблема: віхи з задачами в іншому проекті</t>
        </is>
      </c>
      <c r="G111" s="22" t="inlineStr">
        <is>
          <t>Тестування додавання завдань і переназначення віх з КП (КРАД операції)</t>
        </is>
      </c>
      <c r="H111" s="23" t="n">
        <v>1</v>
      </c>
      <c r="I111" s="23" t="n">
        <v>1.25</v>
      </c>
      <c r="J111" s="23">
        <f>I111-H111</f>
        <v/>
      </c>
      <c r="K111" s="22" t="inlineStr">
        <is>
          <t>частково виставлено</t>
        </is>
      </c>
      <c r="L111" s="24">
        <f>INDEX(Ставки!$C$2:$C$44,MATCH(D111,Ставки!$A$2:$A$44,0))</f>
        <v/>
      </c>
      <c r="M111" s="24">
        <f>J111*L111</f>
        <v/>
      </c>
      <c r="N111" s="22" t="inlineStr"/>
    </row>
    <row r="112">
      <c r="A112" s="22" t="n">
        <v>25267</v>
      </c>
      <c r="B112" s="22" t="inlineStr">
        <is>
          <t>2024-05-30</t>
        </is>
      </c>
      <c r="C112" s="22" t="inlineStr">
        <is>
          <t>2024</t>
        </is>
      </c>
      <c r="D112" s="22" t="inlineStr">
        <is>
          <t>2024-05</t>
        </is>
      </c>
      <c r="E112" s="22" t="inlineStr">
        <is>
          <t>Задорожна Катерина</t>
        </is>
      </c>
      <c r="F112" s="22" t="inlineStr">
        <is>
          <t>проблема: віхи з задачами в іншому проекті</t>
        </is>
      </c>
      <c r="G112" s="22" t="inlineStr">
        <is>
          <t>Тестування створення Віх з шаблонних проєктів</t>
        </is>
      </c>
      <c r="H112" s="23" t="n">
        <v>0.25</v>
      </c>
      <c r="I112" s="23" t="n">
        <v>0.5</v>
      </c>
      <c r="J112" s="23">
        <f>I112-H112</f>
        <v/>
      </c>
      <c r="K112" s="22" t="inlineStr">
        <is>
          <t>частково виставлено</t>
        </is>
      </c>
      <c r="L112" s="24">
        <f>INDEX(Ставки!$C$2:$C$44,MATCH(D112,Ставки!$A$2:$A$44,0))</f>
        <v/>
      </c>
      <c r="M112" s="24">
        <f>J112*L112</f>
        <v/>
      </c>
      <c r="N112" s="22" t="inlineStr"/>
    </row>
    <row r="113">
      <c r="A113" s="22" t="n">
        <v>25269</v>
      </c>
      <c r="B113" s="22" t="inlineStr">
        <is>
          <t>2024-05-30</t>
        </is>
      </c>
      <c r="C113" s="22" t="inlineStr">
        <is>
          <t>2024</t>
        </is>
      </c>
      <c r="D113" s="22" t="inlineStr">
        <is>
          <t>2024-05</t>
        </is>
      </c>
      <c r="E113" s="22" t="inlineStr">
        <is>
          <t>Задорожна Катерина</t>
        </is>
      </c>
      <c r="F113" s="22" t="inlineStr">
        <is>
          <t>проблема: віхи з задачами в іншому проекті</t>
        </is>
      </c>
      <c r="G113" s="22" t="inlineStr">
        <is>
          <t>Запити до бази данних (виявлення проблемних проєктів, віх завдань, та їх кількості)</t>
        </is>
      </c>
      <c r="H113" s="23" t="n">
        <v>0.25</v>
      </c>
      <c r="I113" s="23" t="n">
        <v>0.5</v>
      </c>
      <c r="J113" s="23">
        <f>I113-H113</f>
        <v/>
      </c>
      <c r="K113" s="22" t="inlineStr">
        <is>
          <t>частково виставлено</t>
        </is>
      </c>
      <c r="L113" s="24">
        <f>INDEX(Ставки!$C$2:$C$44,MATCH(D113,Ставки!$A$2:$A$44,0))</f>
        <v/>
      </c>
      <c r="M113" s="24">
        <f>J113*L113</f>
        <v/>
      </c>
      <c r="N113" s="22" t="inlineStr"/>
    </row>
    <row r="114">
      <c r="A114" s="22" t="n">
        <v>25270</v>
      </c>
      <c r="B114" s="22" t="inlineStr">
        <is>
          <t>2024-05-31</t>
        </is>
      </c>
      <c r="C114" s="22" t="inlineStr">
        <is>
          <t>2024</t>
        </is>
      </c>
      <c r="D114" s="22" t="inlineStr">
        <is>
          <t>2024-05</t>
        </is>
      </c>
      <c r="E114" s="22" t="inlineStr">
        <is>
          <t>Задорожна Катерина</t>
        </is>
      </c>
      <c r="F114" s="22" t="inlineStr">
        <is>
          <t>проблема: віхи з задачами в іншому проекті</t>
        </is>
      </c>
      <c r="G114" s="22" t="inlineStr">
        <is>
          <t>Створення функції для переназначення</t>
        </is>
      </c>
      <c r="H114" s="23" t="n">
        <v>0.5</v>
      </c>
      <c r="I114" s="23" t="n">
        <v>1.5</v>
      </c>
      <c r="J114" s="23">
        <f>I114-H114</f>
        <v/>
      </c>
      <c r="K114" s="22" t="inlineStr">
        <is>
          <t>частково виставлено</t>
        </is>
      </c>
      <c r="L114" s="24">
        <f>INDEX(Ставки!$C$2:$C$44,MATCH(D114,Ставки!$A$2:$A$44,0))</f>
        <v/>
      </c>
      <c r="M114" s="24">
        <f>J114*L114</f>
        <v/>
      </c>
      <c r="N114" s="22" t="inlineStr"/>
    </row>
    <row r="115">
      <c r="A115" s="22" t="n">
        <v>25390</v>
      </c>
      <c r="B115" s="22" t="inlineStr">
        <is>
          <t>2024-06-03</t>
        </is>
      </c>
      <c r="C115" s="22" t="inlineStr">
        <is>
          <t>2024</t>
        </is>
      </c>
      <c r="D115" s="22" t="inlineStr">
        <is>
          <t>2024-06</t>
        </is>
      </c>
      <c r="E115" s="22" t="inlineStr">
        <is>
          <t>Волохов Максим</t>
        </is>
      </c>
      <c r="F115" s="22" t="inlineStr">
        <is>
          <t>Проблема: невірна віха, потрібно перевірити</t>
        </is>
      </c>
      <c r="G115" s="22" t="inlineStr">
        <is>
          <t>Перевірка вірності віхи, усунення проблеми та переназвання Віх, перевірка їх правильного відображення</t>
        </is>
      </c>
      <c r="H115" s="23" t="n">
        <v>1</v>
      </c>
      <c r="I115" s="23" t="n">
        <v>1.0833</v>
      </c>
      <c r="J115" s="23">
        <f>I115-H115</f>
        <v/>
      </c>
      <c r="K115" s="22" t="inlineStr">
        <is>
          <t>частково виставлено</t>
        </is>
      </c>
      <c r="L115" s="24">
        <f>INDEX(Ставки!$C$2:$C$44,MATCH(D115,Ставки!$A$2:$A$44,0))</f>
        <v/>
      </c>
      <c r="M115" s="24">
        <f>J115*L115</f>
        <v/>
      </c>
      <c r="N115" s="22" t="inlineStr"/>
    </row>
    <row r="116">
      <c r="A116" s="22" t="n">
        <v>25478</v>
      </c>
      <c r="B116" s="22" t="inlineStr">
        <is>
          <t>2024-06-03</t>
        </is>
      </c>
      <c r="C116" s="22" t="inlineStr">
        <is>
          <t>2024</t>
        </is>
      </c>
      <c r="D116" s="22" t="inlineStr">
        <is>
          <t>2024-06</t>
        </is>
      </c>
      <c r="E116" s="22" t="inlineStr">
        <is>
          <t>Адаменко Олесь</t>
        </is>
      </c>
      <c r="F116" s="22" t="inlineStr">
        <is>
          <t>Проблема: складнощі зі створенням задач та вибором віх</t>
        </is>
      </c>
      <c r="G116" s="22" t="inlineStr">
        <is>
          <t>Виявлення проблеми. Пошук проблеми</t>
        </is>
      </c>
      <c r="H116" s="23" t="n">
        <v>0.25</v>
      </c>
      <c r="I116" s="23" t="n">
        <v>0.2833</v>
      </c>
      <c r="J116" s="23">
        <f>I116-H116</f>
        <v/>
      </c>
      <c r="K116" s="22" t="inlineStr">
        <is>
          <t>частково виставлено</t>
        </is>
      </c>
      <c r="L116" s="24">
        <f>INDEX(Ставки!$C$2:$C$44,MATCH(D116,Ставки!$A$2:$A$44,0))</f>
        <v/>
      </c>
      <c r="M116" s="24">
        <f>J116*L116</f>
        <v/>
      </c>
      <c r="N116" s="22" t="inlineStr"/>
    </row>
    <row r="117">
      <c r="A117" s="22" t="n">
        <v>26223</v>
      </c>
      <c r="B117" s="22" t="inlineStr">
        <is>
          <t>2024-06-21</t>
        </is>
      </c>
      <c r="C117" s="22" t="inlineStr">
        <is>
          <t>2024</t>
        </is>
      </c>
      <c r="D117" s="22" t="inlineStr">
        <is>
          <t>2024-06</t>
        </is>
      </c>
      <c r="E117" s="22" t="inlineStr">
        <is>
          <t>Волохов Максим</t>
        </is>
      </c>
      <c r="F117" s="22" t="inlineStr">
        <is>
          <t>Інструкції</t>
        </is>
      </c>
      <c r="G117" s="22" t="inlineStr">
        <is>
          <t>Створення інструкцій по скиданню файлів Cookie для браузерів: Google Chrome, Mozila Firefox, Opera</t>
        </is>
      </c>
      <c r="H117" s="23" t="n">
        <v>1.5</v>
      </c>
      <c r="I117" s="23" t="n">
        <v>1.5833</v>
      </c>
      <c r="J117" s="23">
        <f>I117-H117</f>
        <v/>
      </c>
      <c r="K117" s="22" t="inlineStr">
        <is>
          <t>частково виставлено</t>
        </is>
      </c>
      <c r="L117" s="24">
        <f>INDEX(Ставки!$C$2:$C$44,MATCH(D117,Ставки!$A$2:$A$44,0))</f>
        <v/>
      </c>
      <c r="M117" s="24">
        <f>J117*L117</f>
        <v/>
      </c>
      <c r="N117" s="22" t="inlineStr"/>
    </row>
    <row r="118">
      <c r="A118" s="22" t="n">
        <v>26355</v>
      </c>
      <c r="B118" s="22" t="inlineStr">
        <is>
          <t>2024-06-25</t>
        </is>
      </c>
      <c r="C118" s="22" t="inlineStr">
        <is>
          <t>2024</t>
        </is>
      </c>
      <c r="D118" s="22" t="inlineStr">
        <is>
          <t>2024-06</t>
        </is>
      </c>
      <c r="E118" s="22" t="inlineStr">
        <is>
          <t>Волохов Максим</t>
        </is>
      </c>
      <c r="F118" s="22" t="inlineStr">
        <is>
          <t>Проблеми описані в спільному чаті в телеграмі</t>
        </is>
      </c>
      <c r="G118" s="22" t="inlineStr">
        <is>
          <t>Аналізування проблеми неперенесення дедлайну дії якщо людина у відпусці</t>
        </is>
      </c>
      <c r="H118" s="23" t="n">
        <v>0.75</v>
      </c>
      <c r="I118" s="23" t="n">
        <v>0.8667</v>
      </c>
      <c r="J118" s="23">
        <f>I118-H118</f>
        <v/>
      </c>
      <c r="K118" s="22" t="inlineStr">
        <is>
          <t>частково виставлено</t>
        </is>
      </c>
      <c r="L118" s="24">
        <f>INDEX(Ставки!$C$2:$C$44,MATCH(D118,Ставки!$A$2:$A$44,0))</f>
        <v/>
      </c>
      <c r="M118" s="24">
        <f>J118*L118</f>
        <v/>
      </c>
      <c r="N118" s="22" t="inlineStr"/>
    </row>
    <row r="119">
      <c r="A119" s="22" t="n">
        <v>26412</v>
      </c>
      <c r="B119" s="22" t="inlineStr">
        <is>
          <t>2024-06-26</t>
        </is>
      </c>
      <c r="C119" s="22" t="inlineStr">
        <is>
          <t>2024</t>
        </is>
      </c>
      <c r="D119" s="22" t="inlineStr">
        <is>
          <t>2024-06</t>
        </is>
      </c>
      <c r="E119" s="22" t="inlineStr">
        <is>
          <t>Волохов Максим</t>
        </is>
      </c>
      <c r="F119" s="22" t="inlineStr">
        <is>
          <t>HR</t>
        </is>
      </c>
      <c r="G119" s="22" t="inlineStr">
        <is>
          <t>Вирішення питань по модулю HR</t>
        </is>
      </c>
      <c r="H119" s="23" t="n">
        <v>1.5</v>
      </c>
      <c r="I119" s="23" t="n">
        <v>1.8333</v>
      </c>
      <c r="J119" s="23">
        <f>I119-H119</f>
        <v/>
      </c>
      <c r="K119" s="22" t="inlineStr">
        <is>
          <t>частково виставлено</t>
        </is>
      </c>
      <c r="L119" s="24">
        <f>INDEX(Ставки!$C$2:$C$44,MATCH(D119,Ставки!$A$2:$A$44,0))</f>
        <v/>
      </c>
      <c r="M119" s="24">
        <f>J119*L119</f>
        <v/>
      </c>
      <c r="N119" s="22" t="inlineStr"/>
    </row>
    <row r="120">
      <c r="A120" s="22" t="n">
        <v>26413</v>
      </c>
      <c r="B120" s="22" t="inlineStr">
        <is>
          <t>2024-06-26</t>
        </is>
      </c>
      <c r="C120" s="22" t="inlineStr">
        <is>
          <t>2024</t>
        </is>
      </c>
      <c r="D120" s="22" t="inlineStr">
        <is>
          <t>2024-06</t>
        </is>
      </c>
      <c r="E120" s="22" t="inlineStr">
        <is>
          <t>Волохов Максим</t>
        </is>
      </c>
      <c r="F120" s="22" t="inlineStr">
        <is>
          <t>HR</t>
        </is>
      </c>
      <c r="G120" s="22" t="inlineStr">
        <is>
          <t>Аналізування зустрічі</t>
        </is>
      </c>
      <c r="H120" s="23" t="n">
        <v>0.75</v>
      </c>
      <c r="I120" s="23" t="n">
        <v>0.8</v>
      </c>
      <c r="J120" s="23">
        <f>I120-H120</f>
        <v/>
      </c>
      <c r="K120" s="22" t="inlineStr">
        <is>
          <t>частково виставлено</t>
        </is>
      </c>
      <c r="L120" s="24">
        <f>INDEX(Ставки!$C$2:$C$44,MATCH(D120,Ставки!$A$2:$A$44,0))</f>
        <v/>
      </c>
      <c r="M120" s="24">
        <f>J120*L120</f>
        <v/>
      </c>
      <c r="N120" s="22" t="inlineStr"/>
    </row>
    <row r="121">
      <c r="A121" s="22" t="n">
        <v>26450</v>
      </c>
      <c r="B121" s="22" t="inlineStr">
        <is>
          <t>2024-06-27</t>
        </is>
      </c>
      <c r="C121" s="22" t="inlineStr">
        <is>
          <t>2024</t>
        </is>
      </c>
      <c r="D121" s="22" t="inlineStr">
        <is>
          <t>2024-06</t>
        </is>
      </c>
      <c r="E121" s="22" t="inlineStr">
        <is>
          <t>Волохов Максим</t>
        </is>
      </c>
      <c r="F121" s="22" t="inlineStr">
        <is>
          <t>Доопрацювання: зробити сповіщення про відпустку при створенні задачі</t>
        </is>
      </c>
      <c r="G121" s="22" t="inlineStr">
        <is>
          <t>Написання ТЗ</t>
        </is>
      </c>
      <c r="H121" s="23" t="n">
        <v>0.75</v>
      </c>
      <c r="I121" s="23" t="n">
        <v>0.7667</v>
      </c>
      <c r="J121" s="23">
        <f>I121-H121</f>
        <v/>
      </c>
      <c r="K121" s="22" t="inlineStr">
        <is>
          <t>частково виставлено</t>
        </is>
      </c>
      <c r="L121" s="24">
        <f>INDEX(Ставки!$C$2:$C$44,MATCH(D121,Ставки!$A$2:$A$44,0))</f>
        <v/>
      </c>
      <c r="M121" s="24">
        <f>J121*L121</f>
        <v/>
      </c>
      <c r="N121" s="22" t="inlineStr"/>
    </row>
    <row r="122">
      <c r="A122" s="22" t="n">
        <v>26524</v>
      </c>
      <c r="B122" s="22" t="inlineStr">
        <is>
          <t>2024-06-28</t>
        </is>
      </c>
      <c r="C122" s="22" t="inlineStr">
        <is>
          <t>2024</t>
        </is>
      </c>
      <c r="D122" s="22" t="inlineStr">
        <is>
          <t>2024-06</t>
        </is>
      </c>
      <c r="E122" s="22" t="inlineStr">
        <is>
          <t>Волохов Максим</t>
        </is>
      </c>
      <c r="F122" s="22" t="inlineStr">
        <is>
          <t>Доопрацювання: зробити сповіщення про відпустку при створенні задачі</t>
        </is>
      </c>
      <c r="G122" s="22" t="inlineStr">
        <is>
          <t>Розробка архітектури</t>
        </is>
      </c>
      <c r="H122" s="23" t="n">
        <v>0.25</v>
      </c>
      <c r="I122" s="23" t="n">
        <v>0.2667</v>
      </c>
      <c r="J122" s="23">
        <f>I122-H122</f>
        <v/>
      </c>
      <c r="K122" s="22" t="inlineStr">
        <is>
          <t>частково виставлено</t>
        </is>
      </c>
      <c r="L122" s="24">
        <f>INDEX(Ставки!$C$2:$C$44,MATCH(D122,Ставки!$A$2:$A$44,0))</f>
        <v/>
      </c>
      <c r="M122" s="24">
        <f>J122*L122</f>
        <v/>
      </c>
      <c r="N122" s="22" t="inlineStr"/>
    </row>
    <row r="123">
      <c r="A123" s="22" t="n">
        <v>26525</v>
      </c>
      <c r="B123" s="22" t="inlineStr">
        <is>
          <t>2024-06-28</t>
        </is>
      </c>
      <c r="C123" s="22" t="inlineStr">
        <is>
          <t>2024</t>
        </is>
      </c>
      <c r="D123" s="22" t="inlineStr">
        <is>
          <t>2024-06</t>
        </is>
      </c>
      <c r="E123" s="22" t="inlineStr">
        <is>
          <t>Волохов Максим</t>
        </is>
      </c>
      <c r="F123" s="22" t="inlineStr">
        <is>
          <t>Доопрацювання: зробити сповіщення про відпустку при створенні задачі</t>
        </is>
      </c>
      <c r="G123" s="22" t="inlineStr">
        <is>
          <t>Доопрацювання технічного завдання</t>
        </is>
      </c>
      <c r="H123" s="23" t="n">
        <v>0.5</v>
      </c>
      <c r="I123" s="23" t="n">
        <v>0.6</v>
      </c>
      <c r="J123" s="23">
        <f>I123-H123</f>
        <v/>
      </c>
      <c r="K123" s="22" t="inlineStr">
        <is>
          <t>частково виставлено</t>
        </is>
      </c>
      <c r="L123" s="24">
        <f>INDEX(Ставки!$C$2:$C$44,MATCH(D123,Ставки!$A$2:$A$44,0))</f>
        <v/>
      </c>
      <c r="M123" s="24">
        <f>J123*L123</f>
        <v/>
      </c>
      <c r="N123" s="22" t="inlineStr"/>
    </row>
    <row r="124">
      <c r="A124" s="22" t="n">
        <v>26611</v>
      </c>
      <c r="B124" s="22" t="inlineStr">
        <is>
          <t>2024-06-28</t>
        </is>
      </c>
      <c r="C124" s="22" t="inlineStr">
        <is>
          <t>2024</t>
        </is>
      </c>
      <c r="D124" s="22" t="inlineStr">
        <is>
          <t>2024-06</t>
        </is>
      </c>
      <c r="E124" s="22" t="inlineStr">
        <is>
          <t>Адаменко Олесь</t>
        </is>
      </c>
      <c r="F124" s="22" t="inlineStr">
        <is>
          <t>Щотижнева зустріч з замовником</t>
        </is>
      </c>
      <c r="G124" s="22" t="inlineStr">
        <is>
          <t>Підготовка до статусної</t>
        </is>
      </c>
      <c r="H124" s="23" t="n">
        <v>0.25</v>
      </c>
      <c r="I124" s="23" t="n">
        <v>0.2833</v>
      </c>
      <c r="J124" s="23">
        <f>I124-H124</f>
        <v/>
      </c>
      <c r="K124" s="22" t="inlineStr">
        <is>
          <t>частково виставлено</t>
        </is>
      </c>
      <c r="L124" s="24">
        <f>INDEX(Ставки!$C$2:$C$44,MATCH(D124,Ставки!$A$2:$A$44,0))</f>
        <v/>
      </c>
      <c r="M124" s="24">
        <f>J124*L124</f>
        <v/>
      </c>
      <c r="N124" s="22" t="inlineStr"/>
    </row>
    <row r="125">
      <c r="A125" s="22" t="n">
        <v>26715</v>
      </c>
      <c r="B125" s="22" t="inlineStr">
        <is>
          <t>2024-07-02</t>
        </is>
      </c>
      <c r="C125" s="22" t="inlineStr">
        <is>
          <t>2024</t>
        </is>
      </c>
      <c r="D125" s="22" t="inlineStr">
        <is>
          <t>2024-07</t>
        </is>
      </c>
      <c r="E125" s="22" t="inlineStr">
        <is>
          <t>Волохов Максим</t>
        </is>
      </c>
      <c r="F125" s="22" t="inlineStr">
        <is>
          <t>Закрити питання</t>
        </is>
      </c>
      <c r="G125" s="22" t="inlineStr">
        <is>
          <t>Аналізування питання описанних в Телеграммі</t>
        </is>
      </c>
      <c r="H125" s="23" t="n">
        <v>0.75</v>
      </c>
      <c r="I125" s="23" t="n">
        <v>0.85</v>
      </c>
      <c r="J125" s="23">
        <f>I125-H125</f>
        <v/>
      </c>
      <c r="K125" s="22" t="inlineStr">
        <is>
          <t>частково виставлено</t>
        </is>
      </c>
      <c r="L125" s="24">
        <f>INDEX(Ставки!$C$2:$C$44,MATCH(D125,Ставки!$A$2:$A$44,0))</f>
        <v/>
      </c>
      <c r="M125" s="24">
        <f>J125*L125</f>
        <v/>
      </c>
      <c r="N125" s="22" t="inlineStr"/>
    </row>
    <row r="126">
      <c r="A126" s="22" t="n">
        <v>26842</v>
      </c>
      <c r="B126" s="22" t="inlineStr">
        <is>
          <t>2024-07-04</t>
        </is>
      </c>
      <c r="C126" s="22" t="inlineStr">
        <is>
          <t>2024</t>
        </is>
      </c>
      <c r="D126" s="22" t="inlineStr">
        <is>
          <t>2024-07</t>
        </is>
      </c>
      <c r="E126" s="22" t="inlineStr">
        <is>
          <t>Волохов Максим</t>
        </is>
      </c>
      <c r="F126" s="22" t="inlineStr">
        <is>
          <t>Доопрацювання: зробити сповіщення про відпустку при створенні задачі</t>
        </is>
      </c>
      <c r="G126" s="22" t="inlineStr">
        <is>
          <t>Доопрацювання Технічного завдання</t>
        </is>
      </c>
      <c r="H126" s="23" t="n">
        <v>0.5</v>
      </c>
      <c r="I126" s="23" t="n">
        <v>0.55</v>
      </c>
      <c r="J126" s="23">
        <f>I126-H126</f>
        <v/>
      </c>
      <c r="K126" s="22" t="inlineStr">
        <is>
          <t>частково виставлено</t>
        </is>
      </c>
      <c r="L126" s="24">
        <f>INDEX(Ставки!$C$2:$C$44,MATCH(D126,Ставки!$A$2:$A$44,0))</f>
        <v/>
      </c>
      <c r="M126" s="24">
        <f>J126*L126</f>
        <v/>
      </c>
      <c r="N126" s="22" t="inlineStr"/>
    </row>
    <row r="127">
      <c r="A127" s="22" t="n">
        <v>27263</v>
      </c>
      <c r="B127" s="22" t="inlineStr">
        <is>
          <t>2024-07-12</t>
        </is>
      </c>
      <c r="C127" s="22" t="inlineStr">
        <is>
          <t>2024</t>
        </is>
      </c>
      <c r="D127" s="22" t="inlineStr">
        <is>
          <t>2024-07</t>
        </is>
      </c>
      <c r="E127" s="22" t="inlineStr">
        <is>
          <t>Адаменко Олесь</t>
        </is>
      </c>
      <c r="F127" s="22" t="inlineStr">
        <is>
          <t>Проблеми: повторення контрагентів</t>
        </is>
      </c>
      <c r="G127" s="22" t="inlineStr">
        <is>
          <t>Постановка задачі</t>
        </is>
      </c>
      <c r="H127" s="23" t="n">
        <v>0.25</v>
      </c>
      <c r="I127" s="23" t="n">
        <v>0.2833</v>
      </c>
      <c r="J127" s="23">
        <f>I127-H127</f>
        <v/>
      </c>
      <c r="K127" s="22" t="inlineStr">
        <is>
          <t>частково виставлено</t>
        </is>
      </c>
      <c r="L127" s="24">
        <f>INDEX(Ставки!$C$2:$C$44,MATCH(D127,Ставки!$A$2:$A$44,0))</f>
        <v/>
      </c>
      <c r="M127" s="24">
        <f>J127*L127</f>
        <v/>
      </c>
      <c r="N127" s="22" t="inlineStr"/>
    </row>
    <row r="128">
      <c r="A128" s="22" t="n">
        <v>27211</v>
      </c>
      <c r="B128" s="22" t="inlineStr">
        <is>
          <t>2024-07-13</t>
        </is>
      </c>
      <c r="C128" s="22" t="inlineStr">
        <is>
          <t>2024</t>
        </is>
      </c>
      <c r="D128" s="22" t="inlineStr">
        <is>
          <t>2024-07</t>
        </is>
      </c>
      <c r="E128" s="22" t="inlineStr">
        <is>
          <t>Шаталюк Владислав</t>
        </is>
      </c>
      <c r="F128" s="22" t="inlineStr">
        <is>
          <t>Виставлення рахунку через різні послуги</t>
        </is>
      </c>
      <c r="G128" s="22" t="inlineStr">
        <is>
          <t>Тест, прописання можливого рішення</t>
        </is>
      </c>
      <c r="H128" s="23" t="n">
        <v>0.25</v>
      </c>
      <c r="I128" s="23" t="n">
        <v>0.3333</v>
      </c>
      <c r="J128" s="23">
        <f>I128-H128</f>
        <v/>
      </c>
      <c r="K128" s="22" t="inlineStr">
        <is>
          <t>частково виставлено</t>
        </is>
      </c>
      <c r="L128" s="24">
        <f>INDEX(Ставки!$C$2:$C$44,MATCH(D128,Ставки!$A$2:$A$44,0))</f>
        <v/>
      </c>
      <c r="M128" s="24">
        <f>J128*L128</f>
        <v/>
      </c>
      <c r="N128" s="22" t="inlineStr"/>
    </row>
    <row r="129">
      <c r="A129" s="22" t="n">
        <v>27294</v>
      </c>
      <c r="B129" s="22" t="inlineStr">
        <is>
          <t>2024-07-15</t>
        </is>
      </c>
      <c r="C129" s="22" t="inlineStr">
        <is>
          <t>2024</t>
        </is>
      </c>
      <c r="D129" s="22" t="inlineStr">
        <is>
          <t>2024-07</t>
        </is>
      </c>
      <c r="E129" s="22" t="inlineStr">
        <is>
          <t>Волохов Максим</t>
        </is>
      </c>
      <c r="F129" s="22" t="inlineStr">
        <is>
          <t>Проблема: Кеш та cookies</t>
        </is>
      </c>
      <c r="G129" s="22" t="inlineStr">
        <is>
          <t>Пошук та тестування додатку по очищенню Chrome</t>
        </is>
      </c>
      <c r="H129" s="23" t="n">
        <v>1.25</v>
      </c>
      <c r="I129" s="23" t="n">
        <v>1.3333</v>
      </c>
      <c r="J129" s="23">
        <f>I129-H129</f>
        <v/>
      </c>
      <c r="K129" s="22" t="inlineStr">
        <is>
          <t>частково виставлено</t>
        </is>
      </c>
      <c r="L129" s="24">
        <f>INDEX(Ставки!$C$2:$C$44,MATCH(D129,Ставки!$A$2:$A$44,0))</f>
        <v/>
      </c>
      <c r="M129" s="24">
        <f>J129*L129</f>
        <v/>
      </c>
      <c r="N129" s="22" t="inlineStr"/>
    </row>
    <row r="130">
      <c r="A130" s="22" t="n">
        <v>27489</v>
      </c>
      <c r="B130" s="22" t="inlineStr">
        <is>
          <t>2024-07-17</t>
        </is>
      </c>
      <c r="C130" s="22" t="inlineStr">
        <is>
          <t>2024</t>
        </is>
      </c>
      <c r="D130" s="22" t="inlineStr">
        <is>
          <t>2024-07</t>
        </is>
      </c>
      <c r="E130" s="22" t="inlineStr">
        <is>
          <t>Адаменко Олесь</t>
        </is>
      </c>
      <c r="F130" s="22" t="inlineStr">
        <is>
          <t>Менеджмент  проекту</t>
        </is>
      </c>
      <c r="G130" s="22" t="inlineStr">
        <is>
          <t>Адміністративні роботи по проекту: пошук спеціалістів, організація зустрічей, спілкування з замовником</t>
        </is>
      </c>
      <c r="H130" s="23" t="n">
        <v>0</v>
      </c>
      <c r="I130" s="23" t="n">
        <v>0.25</v>
      </c>
      <c r="J130" s="23">
        <f>I130-H130</f>
        <v/>
      </c>
      <c r="K130" s="22" t="inlineStr">
        <is>
          <t>безкоштовно (виставлено 0)</t>
        </is>
      </c>
      <c r="L130" s="24">
        <f>INDEX(Ставки!$C$2:$C$44,MATCH(D130,Ставки!$A$2:$A$44,0))</f>
        <v/>
      </c>
      <c r="M130" s="24">
        <f>J130*L130</f>
        <v/>
      </c>
      <c r="N130" s="22" t="inlineStr"/>
    </row>
    <row r="131">
      <c r="A131" s="22" t="n">
        <v>27852</v>
      </c>
      <c r="B131" s="22" t="inlineStr">
        <is>
          <t>2024-07-24</t>
        </is>
      </c>
      <c r="C131" s="22" t="inlineStr">
        <is>
          <t>2024</t>
        </is>
      </c>
      <c r="D131" s="22" t="inlineStr">
        <is>
          <t>2024-07</t>
        </is>
      </c>
      <c r="E131" s="22" t="inlineStr">
        <is>
          <t>Волохов Максим</t>
        </is>
      </c>
      <c r="F131" s="22" t="inlineStr">
        <is>
          <t>Проблеми описані в спільному чаті в телеграмі</t>
        </is>
      </c>
      <c r="G131" s="22" t="inlineStr">
        <is>
          <t>Аналізування можливості редагувати примітки у Задачі</t>
        </is>
      </c>
      <c r="H131" s="23" t="n">
        <v>0.5</v>
      </c>
      <c r="I131" s="23" t="n">
        <v>0.5833</v>
      </c>
      <c r="J131" s="23">
        <f>I131-H131</f>
        <v/>
      </c>
      <c r="K131" s="22" t="inlineStr">
        <is>
          <t>частково виставлено</t>
        </is>
      </c>
      <c r="L131" s="24">
        <f>INDEX(Ставки!$C$2:$C$44,MATCH(D131,Ставки!$A$2:$A$44,0))</f>
        <v/>
      </c>
      <c r="M131" s="24">
        <f>J131*L131</f>
        <v/>
      </c>
      <c r="N131" s="22" t="inlineStr"/>
    </row>
    <row r="132">
      <c r="A132" s="22" t="n">
        <v>28240</v>
      </c>
      <c r="B132" s="22" t="inlineStr">
        <is>
          <t>2024-07-31</t>
        </is>
      </c>
      <c r="C132" s="22" t="inlineStr">
        <is>
          <t>2024</t>
        </is>
      </c>
      <c r="D132" s="22" t="inlineStr">
        <is>
          <t>2024-07</t>
        </is>
      </c>
      <c r="E132" s="22" t="inlineStr">
        <is>
          <t>Волохов Максим</t>
        </is>
      </c>
      <c r="F132" s="22" t="inlineStr">
        <is>
          <t>Проблема: Не зберігаються табелі, а також через андроїд не переносится текст в примітках в задачі</t>
        </is>
      </c>
      <c r="G132" s="22" t="inlineStr">
        <is>
          <t>Аналізування проблеми</t>
        </is>
      </c>
      <c r="H132" s="23" t="n">
        <v>0.75</v>
      </c>
      <c r="I132" s="23" t="n">
        <v>0.8333</v>
      </c>
      <c r="J132" s="23">
        <f>I132-H132</f>
        <v/>
      </c>
      <c r="K132" s="22" t="inlineStr">
        <is>
          <t>частково виставлено</t>
        </is>
      </c>
      <c r="L132" s="24">
        <f>INDEX(Ставки!$C$2:$C$44,MATCH(D132,Ставки!$A$2:$A$44,0))</f>
        <v/>
      </c>
      <c r="M132" s="24">
        <f>J132*L132</f>
        <v/>
      </c>
      <c r="N132" s="22" t="inlineStr"/>
    </row>
    <row r="133">
      <c r="A133" s="22" t="n">
        <v>28503</v>
      </c>
      <c r="B133" s="22" t="inlineStr">
        <is>
          <t>2024-08-06</t>
        </is>
      </c>
      <c r="C133" s="22" t="inlineStr">
        <is>
          <t>2024</t>
        </is>
      </c>
      <c r="D133" s="22" t="inlineStr">
        <is>
          <t>2024-08</t>
        </is>
      </c>
      <c r="E133" s="22" t="inlineStr">
        <is>
          <t>Волохов Максим</t>
        </is>
      </c>
      <c r="F133" s="22" t="inlineStr">
        <is>
          <t>Повторювані задачі не зберігають послугу</t>
        </is>
      </c>
      <c r="G133" s="22" t="inlineStr">
        <is>
          <t>Виявлення проблеми не зберігаеться послуга</t>
        </is>
      </c>
      <c r="H133" s="23" t="n">
        <v>0.25</v>
      </c>
      <c r="I133" s="23" t="n">
        <v>0.45</v>
      </c>
      <c r="J133" s="23">
        <f>I133-H133</f>
        <v/>
      </c>
      <c r="K133" s="22" t="inlineStr">
        <is>
          <t>частково виставлено</t>
        </is>
      </c>
      <c r="L133" s="24">
        <f>INDEX(Ставки!$C$2:$C$44,MATCH(D133,Ставки!$A$2:$A$44,0))</f>
        <v/>
      </c>
      <c r="M133" s="24">
        <f>J133*L133</f>
        <v/>
      </c>
      <c r="N133" s="22" t="inlineStr"/>
    </row>
    <row r="134">
      <c r="A134" s="22" t="n">
        <v>28510</v>
      </c>
      <c r="B134" s="22" t="inlineStr">
        <is>
          <t>2024-08-07</t>
        </is>
      </c>
      <c r="C134" s="22" t="inlineStr">
        <is>
          <t>2024</t>
        </is>
      </c>
      <c r="D134" s="22" t="inlineStr">
        <is>
          <t>2024-08</t>
        </is>
      </c>
      <c r="E134" s="22" t="inlineStr">
        <is>
          <t>Задорожна Катерина</t>
        </is>
      </c>
      <c r="F134" s="22" t="inlineStr">
        <is>
          <t>Повторювані задачі не зберігають послугу</t>
        </is>
      </c>
      <c r="G134" s="22" t="inlineStr">
        <is>
          <t>/</t>
        </is>
      </c>
      <c r="H134" s="23" t="n">
        <v>0</v>
      </c>
      <c r="I134" s="23" t="n">
        <v>0.5</v>
      </c>
      <c r="J134" s="23">
        <f>I134-H134</f>
        <v/>
      </c>
      <c r="K134" s="22" t="inlineStr">
        <is>
          <t>безкоштовно (виставлено 0)</t>
        </is>
      </c>
      <c r="L134" s="24">
        <f>INDEX(Ставки!$C$2:$C$44,MATCH(D134,Ставки!$A$2:$A$44,0))</f>
        <v/>
      </c>
      <c r="M134" s="24">
        <f>J134*L134</f>
        <v/>
      </c>
      <c r="N134" s="22" t="inlineStr"/>
    </row>
    <row r="135">
      <c r="A135" s="22" t="n">
        <v>29087</v>
      </c>
      <c r="B135" s="22" t="inlineStr">
        <is>
          <t>2024-08-19</t>
        </is>
      </c>
      <c r="C135" s="22" t="inlineStr">
        <is>
          <t>2024</t>
        </is>
      </c>
      <c r="D135" s="22" t="inlineStr">
        <is>
          <t>2024-08</t>
        </is>
      </c>
      <c r="E135" s="22" t="inlineStr">
        <is>
          <t>Адаменко Олесь</t>
        </is>
      </c>
      <c r="F135" s="22" t="inlineStr">
        <is>
          <t>Статусна зустріч</t>
        </is>
      </c>
      <c r="G135" s="22" t="inlineStr">
        <is>
          <t>Ведення прокту:  записи, звіти</t>
        </is>
      </c>
      <c r="H135" s="23" t="n">
        <v>0</v>
      </c>
      <c r="I135" s="23" t="n">
        <v>0.0833</v>
      </c>
      <c r="J135" s="23">
        <f>I135-H135</f>
        <v/>
      </c>
      <c r="K135" s="22" t="inlineStr">
        <is>
          <t>безкоштовно (виставлено 0)</t>
        </is>
      </c>
      <c r="L135" s="24">
        <f>INDEX(Ставки!$C$2:$C$44,MATCH(D135,Ставки!$A$2:$A$44,0))</f>
        <v/>
      </c>
      <c r="M135" s="24">
        <f>J135*L135</f>
        <v/>
      </c>
      <c r="N135" s="22" t="inlineStr"/>
    </row>
    <row r="136">
      <c r="A136" s="22" t="n">
        <v>29159</v>
      </c>
      <c r="B136" s="22" t="inlineStr">
        <is>
          <t>2024-08-19</t>
        </is>
      </c>
      <c r="C136" s="22" t="inlineStr">
        <is>
          <t>2024</t>
        </is>
      </c>
      <c r="D136" s="22" t="inlineStr">
        <is>
          <t>2024-08</t>
        </is>
      </c>
      <c r="E136" s="22" t="inlineStr">
        <is>
          <t>Волохов Максим</t>
        </is>
      </c>
      <c r="F136" s="22" t="inlineStr">
        <is>
          <t>Проблеми описані в спільному чаті в телеграмі</t>
        </is>
      </c>
      <c r="G136" s="22" t="inlineStr">
        <is>
          <t>Аналіз проблеми пошти</t>
        </is>
      </c>
      <c r="H136" s="23" t="n">
        <v>0.5</v>
      </c>
      <c r="I136" s="23" t="n">
        <v>1</v>
      </c>
      <c r="J136" s="23">
        <f>I136-H136</f>
        <v/>
      </c>
      <c r="K136" s="22" t="inlineStr">
        <is>
          <t>частково виставлено</t>
        </is>
      </c>
      <c r="L136" s="24">
        <f>INDEX(Ставки!$C$2:$C$44,MATCH(D136,Ставки!$A$2:$A$44,0))</f>
        <v/>
      </c>
      <c r="M136" s="24">
        <f>J136*L136</f>
        <v/>
      </c>
      <c r="N136" s="22" t="inlineStr"/>
    </row>
    <row r="137">
      <c r="A137" s="22" t="n">
        <v>29339</v>
      </c>
      <c r="B137" s="22" t="inlineStr">
        <is>
          <t>2024-08-22</t>
        </is>
      </c>
      <c r="C137" s="22" t="inlineStr">
        <is>
          <t>2024</t>
        </is>
      </c>
      <c r="D137" s="22" t="inlineStr">
        <is>
          <t>2024-08</t>
        </is>
      </c>
      <c r="E137" s="22" t="inlineStr">
        <is>
          <t>Волохов Максим</t>
        </is>
      </c>
      <c r="F137" s="22" t="inlineStr">
        <is>
          <t>Проблема: повторювана задача без послгуи.</t>
        </is>
      </c>
      <c r="G137" s="22" t="inlineStr">
        <is>
          <t>Розробка архітектури</t>
        </is>
      </c>
      <c r="H137" s="23" t="n">
        <v>0.5</v>
      </c>
      <c r="I137" s="23" t="n">
        <v>0.5333</v>
      </c>
      <c r="J137" s="23">
        <f>I137-H137</f>
        <v/>
      </c>
      <c r="K137" s="22" t="inlineStr">
        <is>
          <t>частково виставлено</t>
        </is>
      </c>
      <c r="L137" s="24">
        <f>INDEX(Ставки!$C$2:$C$44,MATCH(D137,Ставки!$A$2:$A$44,0))</f>
        <v/>
      </c>
      <c r="M137" s="24">
        <f>J137*L137</f>
        <v/>
      </c>
      <c r="N137" s="22" t="inlineStr"/>
    </row>
    <row r="138">
      <c r="A138" s="22" t="n">
        <v>29401</v>
      </c>
      <c r="B138" s="22" t="inlineStr">
        <is>
          <t>2024-08-23</t>
        </is>
      </c>
      <c r="C138" s="22" t="inlineStr">
        <is>
          <t>2024</t>
        </is>
      </c>
      <c r="D138" s="22" t="inlineStr">
        <is>
          <t>2024-08</t>
        </is>
      </c>
      <c r="E138" s="22" t="inlineStr">
        <is>
          <t>Задорожна Катерина</t>
        </is>
      </c>
      <c r="F138" s="22" t="inlineStr">
        <is>
          <t>Проаналізувати проблему: не підтягує послугу</t>
        </is>
      </c>
      <c r="G138" s="22" t="inlineStr">
        <is>
          <t>Аналіз даних в бд</t>
        </is>
      </c>
      <c r="H138" s="23" t="n">
        <v>0</v>
      </c>
      <c r="I138" s="23" t="n">
        <v>2.5</v>
      </c>
      <c r="J138" s="23">
        <f>I138-H138</f>
        <v/>
      </c>
      <c r="K138" s="22" t="inlineStr">
        <is>
          <t>безкоштовно (виставлено 0)</t>
        </is>
      </c>
      <c r="L138" s="24">
        <f>INDEX(Ставки!$C$2:$C$44,MATCH(D138,Ставки!$A$2:$A$44,0))</f>
        <v/>
      </c>
      <c r="M138" s="24">
        <f>J138*L138</f>
        <v/>
      </c>
      <c r="N138" s="22" t="inlineStr"/>
    </row>
    <row r="139">
      <c r="A139" s="22" t="n">
        <v>29403</v>
      </c>
      <c r="B139" s="22" t="inlineStr">
        <is>
          <t>2024-08-23</t>
        </is>
      </c>
      <c r="C139" s="22" t="inlineStr">
        <is>
          <t>2024</t>
        </is>
      </c>
      <c r="D139" s="22" t="inlineStr">
        <is>
          <t>2024-08</t>
        </is>
      </c>
      <c r="E139" s="22" t="inlineStr">
        <is>
          <t>Задорожна Катерина</t>
        </is>
      </c>
      <c r="F139" s="22" t="inlineStr">
        <is>
          <t>Проаналізувати проблему: не підтягує послугу</t>
        </is>
      </c>
      <c r="G139" s="22" t="inlineStr">
        <is>
          <t>Підключення команди розробки до вирішення проблеми</t>
        </is>
      </c>
      <c r="H139" s="23" t="n">
        <v>0</v>
      </c>
      <c r="I139" s="23" t="n">
        <v>0.25</v>
      </c>
      <c r="J139" s="23">
        <f>I139-H139</f>
        <v/>
      </c>
      <c r="K139" s="22" t="inlineStr">
        <is>
          <t>безкоштовно (виставлено 0)</t>
        </is>
      </c>
      <c r="L139" s="24">
        <f>INDEX(Ставки!$C$2:$C$44,MATCH(D139,Ставки!$A$2:$A$44,0))</f>
        <v/>
      </c>
      <c r="M139" s="24">
        <f>J139*L139</f>
        <v/>
      </c>
      <c r="N139" s="22" t="inlineStr"/>
    </row>
    <row r="140">
      <c r="A140" s="22" t="n">
        <v>29455</v>
      </c>
      <c r="B140" s="22" t="inlineStr">
        <is>
          <t>2024-08-23</t>
        </is>
      </c>
      <c r="C140" s="22" t="inlineStr">
        <is>
          <t>2024</t>
        </is>
      </c>
      <c r="D140" s="22" t="inlineStr">
        <is>
          <t>2024-08</t>
        </is>
      </c>
      <c r="E140" s="22" t="inlineStr">
        <is>
          <t>Волохов Максим</t>
        </is>
      </c>
      <c r="F140" s="22" t="inlineStr">
        <is>
          <t>Інструкція: фільтрація задач за створеним</t>
        </is>
      </c>
      <c r="G140" s="22" t="inlineStr">
        <is>
          <t>Створення інструкції Як відслідковуватти завдання котрі стоворенні певним співробітником</t>
        </is>
      </c>
      <c r="H140" s="23" t="n">
        <v>0.5</v>
      </c>
      <c r="I140" s="23" t="n">
        <v>0.6167</v>
      </c>
      <c r="J140" s="23">
        <f>I140-H140</f>
        <v/>
      </c>
      <c r="K140" s="22" t="inlineStr">
        <is>
          <t>частково виставлено</t>
        </is>
      </c>
      <c r="L140" s="24">
        <f>INDEX(Ставки!$C$2:$C$44,MATCH(D140,Ставки!$A$2:$A$44,0))</f>
        <v/>
      </c>
      <c r="M140" s="24">
        <f>J140*L140</f>
        <v/>
      </c>
      <c r="N140" s="22" t="inlineStr"/>
    </row>
    <row r="141">
      <c r="A141" s="22" t="n">
        <v>29504</v>
      </c>
      <c r="B141" s="22" t="inlineStr">
        <is>
          <t>2024-08-26</t>
        </is>
      </c>
      <c r="C141" s="22" t="inlineStr">
        <is>
          <t>2024</t>
        </is>
      </c>
      <c r="D141" s="22" t="inlineStr">
        <is>
          <t>2024-08</t>
        </is>
      </c>
      <c r="E141" s="22" t="inlineStr">
        <is>
          <t>Волохов Максим</t>
        </is>
      </c>
      <c r="F141" s="22" t="inlineStr">
        <is>
          <t>Менеджмент  проекту</t>
        </is>
      </c>
      <c r="G141" s="22" t="inlineStr">
        <is>
          <t>Стратегічна сесія по проблемам проекту: повторювані задачі, процес створення комерційних пропозицій, моніторинг системи.</t>
        </is>
      </c>
      <c r="H141" s="23" t="n">
        <v>0.25</v>
      </c>
      <c r="I141" s="23" t="n">
        <v>0.4333</v>
      </c>
      <c r="J141" s="23">
        <f>I141-H141</f>
        <v/>
      </c>
      <c r="K141" s="22" t="inlineStr">
        <is>
          <t>частково виставлено</t>
        </is>
      </c>
      <c r="L141" s="24">
        <f>INDEX(Ставки!$C$2:$C$44,MATCH(D141,Ставки!$A$2:$A$44,0))</f>
        <v/>
      </c>
      <c r="M141" s="24">
        <f>J141*L141</f>
        <v/>
      </c>
      <c r="N141" s="22" t="inlineStr"/>
    </row>
    <row r="142">
      <c r="A142" s="22" t="n">
        <v>29506</v>
      </c>
      <c r="B142" s="22" t="inlineStr">
        <is>
          <t>2024-08-26</t>
        </is>
      </c>
      <c r="C142" s="22" t="inlineStr">
        <is>
          <t>2024</t>
        </is>
      </c>
      <c r="D142" s="22" t="inlineStr">
        <is>
          <t>2024-08</t>
        </is>
      </c>
      <c r="E142" s="22" t="inlineStr">
        <is>
          <t>Пусташинський Юрій</t>
        </is>
      </c>
      <c r="F142" s="22" t="inlineStr">
        <is>
          <t>Менеджмент  проекту</t>
        </is>
      </c>
      <c r="G142" s="22" t="inlineStr">
        <is>
          <t>Стратегічна сесія по проблемам проекту: повторювані задачі, процес створення комерційних пропозицій, моніторинг системи.</t>
        </is>
      </c>
      <c r="H142" s="23" t="n">
        <v>0.25</v>
      </c>
      <c r="I142" s="23" t="n">
        <v>0.4333</v>
      </c>
      <c r="J142" s="23">
        <f>I142-H142</f>
        <v/>
      </c>
      <c r="K142" s="22" t="inlineStr">
        <is>
          <t>частково виставлено</t>
        </is>
      </c>
      <c r="L142" s="24">
        <f>INDEX(Ставки!$C$2:$C$44,MATCH(D142,Ставки!$A$2:$A$44,0))</f>
        <v/>
      </c>
      <c r="M142" s="24">
        <f>J142*L142</f>
        <v/>
      </c>
      <c r="N142" s="22" t="inlineStr"/>
    </row>
    <row r="143">
      <c r="A143" s="22" t="n">
        <v>29798</v>
      </c>
      <c r="B143" s="22" t="inlineStr">
        <is>
          <t>2024-08-29</t>
        </is>
      </c>
      <c r="C143" s="22" t="inlineStr">
        <is>
          <t>2024</t>
        </is>
      </c>
      <c r="D143" s="22" t="inlineStr">
        <is>
          <t>2024-08</t>
        </is>
      </c>
      <c r="E143" s="22" t="inlineStr">
        <is>
          <t>Адаменко Олесь</t>
        </is>
      </c>
      <c r="F143" s="22" t="inlineStr">
        <is>
          <t>Налаштування поштового сервера</t>
        </is>
      </c>
      <c r="G143" s="22" t="inlineStr">
        <is>
          <t>Зустріч по налаштуванню поштового сервера</t>
        </is>
      </c>
      <c r="H143" s="23" t="n">
        <v>0.25</v>
      </c>
      <c r="I143" s="23" t="n">
        <v>0.2667</v>
      </c>
      <c r="J143" s="23">
        <f>I143-H143</f>
        <v/>
      </c>
      <c r="K143" s="22" t="inlineStr">
        <is>
          <t>частково виставлено</t>
        </is>
      </c>
      <c r="L143" s="24">
        <f>INDEX(Ставки!$C$2:$C$44,MATCH(D143,Ставки!$A$2:$A$44,0))</f>
        <v/>
      </c>
      <c r="M143" s="24">
        <f>J143*L143</f>
        <v/>
      </c>
      <c r="N143" s="22" t="inlineStr"/>
    </row>
    <row r="144">
      <c r="A144" s="22" t="n">
        <v>29801</v>
      </c>
      <c r="B144" s="22" t="inlineStr">
        <is>
          <t>2024-08-29</t>
        </is>
      </c>
      <c r="C144" s="22" t="inlineStr">
        <is>
          <t>2024</t>
        </is>
      </c>
      <c r="D144" s="22" t="inlineStr">
        <is>
          <t>2024-08</t>
        </is>
      </c>
      <c r="E144" s="22" t="inlineStr">
        <is>
          <t>Кудлай Борис</t>
        </is>
      </c>
      <c r="F144" s="22" t="inlineStr">
        <is>
          <t>Налаштування поштового сервера</t>
        </is>
      </c>
      <c r="G144" s="22" t="inlineStr">
        <is>
          <t>Зустріч по налаштуванню поштового сервера</t>
        </is>
      </c>
      <c r="H144" s="23" t="n">
        <v>0.25</v>
      </c>
      <c r="I144" s="23" t="n">
        <v>0.2667</v>
      </c>
      <c r="J144" s="23">
        <f>I144-H144</f>
        <v/>
      </c>
      <c r="K144" s="22" t="inlineStr">
        <is>
          <t>частково виставлено</t>
        </is>
      </c>
      <c r="L144" s="24">
        <f>INDEX(Ставки!$C$2:$C$44,MATCH(D144,Ставки!$A$2:$A$44,0))</f>
        <v/>
      </c>
      <c r="M144" s="24">
        <f>J144*L144</f>
        <v/>
      </c>
      <c r="N144" s="22" t="inlineStr"/>
    </row>
    <row r="145">
      <c r="A145" s="22" t="n">
        <v>29907</v>
      </c>
      <c r="B145" s="22" t="inlineStr">
        <is>
          <t>2024-09-02</t>
        </is>
      </c>
      <c r="C145" s="22" t="inlineStr">
        <is>
          <t>2024</t>
        </is>
      </c>
      <c r="D145" s="22" t="inlineStr">
        <is>
          <t>2024-09</t>
        </is>
      </c>
      <c r="E145" s="22" t="inlineStr">
        <is>
          <t>Волохов Максим</t>
        </is>
      </c>
      <c r="F145" s="22" t="inlineStr">
        <is>
          <t>Вимога: Відпустка враховувала вихідні дні</t>
        </is>
      </c>
      <c r="G145" s="22" t="inlineStr">
        <is>
          <t>Аналізування можливості: Відпустка враховує вихідні дні</t>
        </is>
      </c>
      <c r="H145" s="23" t="n">
        <v>0.25</v>
      </c>
      <c r="I145" s="23" t="n">
        <v>0.35</v>
      </c>
      <c r="J145" s="23">
        <f>I145-H145</f>
        <v/>
      </c>
      <c r="K145" s="22" t="inlineStr">
        <is>
          <t>частково виставлено</t>
        </is>
      </c>
      <c r="L145" s="24">
        <f>INDEX(Ставки!$C$2:$C$44,MATCH(D145,Ставки!$A$2:$A$44,0))</f>
        <v/>
      </c>
      <c r="M145" s="24">
        <f>J145*L145</f>
        <v/>
      </c>
      <c r="N145" s="22" t="inlineStr"/>
    </row>
    <row r="146">
      <c r="A146" s="22" t="n">
        <v>29951</v>
      </c>
      <c r="B146" s="22" t="inlineStr">
        <is>
          <t>2024-09-03</t>
        </is>
      </c>
      <c r="C146" s="22" t="inlineStr">
        <is>
          <t>2024</t>
        </is>
      </c>
      <c r="D146" s="22" t="inlineStr">
        <is>
          <t>2024-09</t>
        </is>
      </c>
      <c r="E146" s="22" t="inlineStr">
        <is>
          <t>Волохов Максим</t>
        </is>
      </c>
      <c r="F146" s="22" t="inlineStr">
        <is>
          <t>Вимога: Відпустка враховувала вихідні дні</t>
        </is>
      </c>
      <c r="G146" s="22" t="inlineStr">
        <is>
          <t>Аналізування можливості враховувати вихідні дні у відпусці</t>
        </is>
      </c>
      <c r="H146" s="23" t="n">
        <v>1</v>
      </c>
      <c r="I146" s="23" t="n">
        <v>1.0833</v>
      </c>
      <c r="J146" s="23">
        <f>I146-H146</f>
        <v/>
      </c>
      <c r="K146" s="22" t="inlineStr">
        <is>
          <t>частково виставлено</t>
        </is>
      </c>
      <c r="L146" s="24">
        <f>INDEX(Ставки!$C$2:$C$44,MATCH(D146,Ставки!$A$2:$A$44,0))</f>
        <v/>
      </c>
      <c r="M146" s="24">
        <f>J146*L146</f>
        <v/>
      </c>
      <c r="N146" s="22" t="inlineStr"/>
    </row>
    <row r="147">
      <c r="A147" s="22" t="n">
        <v>30560</v>
      </c>
      <c r="B147" s="22" t="inlineStr">
        <is>
          <t>2024-09-10</t>
        </is>
      </c>
      <c r="C147" s="22" t="inlineStr">
        <is>
          <t>2024</t>
        </is>
      </c>
      <c r="D147" s="22" t="inlineStr">
        <is>
          <t>2024-09</t>
        </is>
      </c>
      <c r="E147" s="22" t="inlineStr">
        <is>
          <t>Адаменко Олесь</t>
        </is>
      </c>
      <c r="F147" s="22" t="inlineStr">
        <is>
          <t>Статусна зустріч</t>
        </is>
      </c>
      <c r="G147" s="22" t="inlineStr">
        <is>
          <t>Статусна зустріч</t>
        </is>
      </c>
      <c r="H147" s="23" t="n">
        <v>0.25</v>
      </c>
      <c r="I147" s="23" t="n">
        <v>0.5</v>
      </c>
      <c r="J147" s="23">
        <f>I147-H147</f>
        <v/>
      </c>
      <c r="K147" s="22" t="inlineStr">
        <is>
          <t>частково виставлено</t>
        </is>
      </c>
      <c r="L147" s="24">
        <f>INDEX(Ставки!$C$2:$C$44,MATCH(D147,Ставки!$A$2:$A$44,0))</f>
        <v/>
      </c>
      <c r="M147" s="24">
        <f>J147*L147</f>
        <v/>
      </c>
      <c r="N147" s="22" t="inlineStr"/>
    </row>
    <row r="148">
      <c r="A148" s="22" t="n">
        <v>30590</v>
      </c>
      <c r="B148" s="22" t="inlineStr">
        <is>
          <t>2024-09-16</t>
        </is>
      </c>
      <c r="C148" s="22" t="inlineStr">
        <is>
          <t>2024</t>
        </is>
      </c>
      <c r="D148" s="22" t="inlineStr">
        <is>
          <t>2024-09</t>
        </is>
      </c>
      <c r="E148" s="22" t="inlineStr">
        <is>
          <t>Волохов Максим</t>
        </is>
      </c>
      <c r="F148" s="22" t="inlineStr">
        <is>
          <t>Менеджмент  проекту</t>
        </is>
      </c>
      <c r="G148" s="22" t="inlineStr">
        <is>
          <t>Зустріч с замовником с приводу HR модуля</t>
        </is>
      </c>
      <c r="H148" s="23" t="n">
        <v>0.75</v>
      </c>
      <c r="I148" s="23" t="n">
        <v>0.8333</v>
      </c>
      <c r="J148" s="23">
        <f>I148-H148</f>
        <v/>
      </c>
      <c r="K148" s="22" t="inlineStr">
        <is>
          <t>частково виставлено</t>
        </is>
      </c>
      <c r="L148" s="24">
        <f>INDEX(Ставки!$C$2:$C$44,MATCH(D148,Ставки!$A$2:$A$44,0))</f>
        <v/>
      </c>
      <c r="M148" s="24">
        <f>J148*L148</f>
        <v/>
      </c>
      <c r="N148" s="22" t="inlineStr"/>
    </row>
    <row r="149">
      <c r="A149" s="22" t="n">
        <v>30717</v>
      </c>
      <c r="B149" s="22" t="inlineStr">
        <is>
          <t>2024-09-18</t>
        </is>
      </c>
      <c r="C149" s="22" t="inlineStr">
        <is>
          <t>2024</t>
        </is>
      </c>
      <c r="D149" s="22" t="inlineStr">
        <is>
          <t>2024-09</t>
        </is>
      </c>
      <c r="E149" s="22" t="inlineStr">
        <is>
          <t>Волохов Максим</t>
        </is>
      </c>
      <c r="F149" s="22" t="inlineStr">
        <is>
          <t>Проблема приходять сповіщення про проект коли не підписаний на нього</t>
        </is>
      </c>
      <c r="G149" s="22" t="inlineStr">
        <is>
          <t>Видалення з шаблонних проектів Марію</t>
        </is>
      </c>
      <c r="H149" s="23" t="n">
        <v>0.25</v>
      </c>
      <c r="I149" s="23" t="n">
        <v>0.3</v>
      </c>
      <c r="J149" s="23">
        <f>I149-H149</f>
        <v/>
      </c>
      <c r="K149" s="22" t="inlineStr">
        <is>
          <t>частково виставлено</t>
        </is>
      </c>
      <c r="L149" s="24">
        <f>INDEX(Ставки!$C$2:$C$44,MATCH(D149,Ставки!$A$2:$A$44,0))</f>
        <v/>
      </c>
      <c r="M149" s="24">
        <f>J149*L149</f>
        <v/>
      </c>
      <c r="N149" s="22" t="inlineStr"/>
    </row>
    <row r="150">
      <c r="A150" s="22" t="n">
        <v>31117</v>
      </c>
      <c r="B150" s="22" t="inlineStr">
        <is>
          <t>2024-09-26</t>
        </is>
      </c>
      <c r="C150" s="22" t="inlineStr">
        <is>
          <t>2024</t>
        </is>
      </c>
      <c r="D150" s="22" t="inlineStr">
        <is>
          <t>2024-09</t>
        </is>
      </c>
      <c r="E150" s="22" t="inlineStr">
        <is>
          <t>Волохов Максим</t>
        </is>
      </c>
      <c r="F150" s="22" t="inlineStr">
        <is>
          <t>Проблема: Довго грузиться Odoo</t>
        </is>
      </c>
      <c r="G150" s="22" t="inlineStr">
        <is>
          <t>Аналізування проблеми що Odoo довго завантажує сторінки та висне</t>
        </is>
      </c>
      <c r="H150" s="23" t="n">
        <v>0.25</v>
      </c>
      <c r="I150" s="23" t="n">
        <v>0.3333</v>
      </c>
      <c r="J150" s="23">
        <f>I150-H150</f>
        <v/>
      </c>
      <c r="K150" s="22" t="inlineStr">
        <is>
          <t>частково виставлено</t>
        </is>
      </c>
      <c r="L150" s="24">
        <f>INDEX(Ставки!$C$2:$C$44,MATCH(D150,Ставки!$A$2:$A$44,0))</f>
        <v/>
      </c>
      <c r="M150" s="24">
        <f>J150*L150</f>
        <v/>
      </c>
      <c r="N150" s="22" t="inlineStr"/>
    </row>
    <row r="151">
      <c r="A151" s="22" t="n">
        <v>31207</v>
      </c>
      <c r="B151" s="22" t="inlineStr">
        <is>
          <t>2024-09-27</t>
        </is>
      </c>
      <c r="C151" s="22" t="inlineStr">
        <is>
          <t>2024</t>
        </is>
      </c>
      <c r="D151" s="22" t="inlineStr">
        <is>
          <t>2024-09</t>
        </is>
      </c>
      <c r="E151" s="22" t="inlineStr">
        <is>
          <t>Волохов Максим</t>
        </is>
      </c>
      <c r="F151" s="22" t="inlineStr">
        <is>
          <t>Перенос серверу</t>
        </is>
      </c>
      <c r="G151" s="22" t="inlineStr">
        <is>
          <t>Зібрано вимоги до серверу</t>
        </is>
      </c>
      <c r="H151" s="23" t="n">
        <v>0.25</v>
      </c>
      <c r="I151" s="23" t="n">
        <v>0.3333</v>
      </c>
      <c r="J151" s="23">
        <f>I151-H151</f>
        <v/>
      </c>
      <c r="K151" s="22" t="inlineStr">
        <is>
          <t>частково виставлено</t>
        </is>
      </c>
      <c r="L151" s="24">
        <f>INDEX(Ставки!$C$2:$C$44,MATCH(D151,Ставки!$A$2:$A$44,0))</f>
        <v/>
      </c>
      <c r="M151" s="24">
        <f>J151*L151</f>
        <v/>
      </c>
      <c r="N151" s="22" t="inlineStr"/>
    </row>
    <row r="152">
      <c r="A152" s="22" t="n">
        <v>31388</v>
      </c>
      <c r="B152" s="22" t="inlineStr">
        <is>
          <t>2024-09-30</t>
        </is>
      </c>
      <c r="C152" s="22" t="inlineStr">
        <is>
          <t>2024</t>
        </is>
      </c>
      <c r="D152" s="22" t="inlineStr">
        <is>
          <t>2024-09</t>
        </is>
      </c>
      <c r="E152" s="22" t="inlineStr">
        <is>
          <t>Волохов Максим</t>
        </is>
      </c>
      <c r="F152" s="22" t="inlineStr">
        <is>
          <t>Підготувати навчальні матеріали згідно запиту</t>
        </is>
      </c>
      <c r="G152" s="22" t="inlineStr">
        <is>
          <t>Підготовлено текствовий план та відео по запиту створення проектів</t>
        </is>
      </c>
      <c r="H152" s="23" t="n">
        <v>0.75</v>
      </c>
      <c r="I152" s="23" t="n">
        <v>1.3667</v>
      </c>
      <c r="J152" s="23">
        <f>I152-H152</f>
        <v/>
      </c>
      <c r="K152" s="22" t="inlineStr">
        <is>
          <t>частково виставлено</t>
        </is>
      </c>
      <c r="L152" s="24">
        <f>INDEX(Ставки!$C$2:$C$44,MATCH(D152,Ставки!$A$2:$A$44,0))</f>
        <v/>
      </c>
      <c r="M152" s="24">
        <f>J152*L152</f>
        <v/>
      </c>
      <c r="N152" s="22" t="inlineStr"/>
    </row>
    <row r="153">
      <c r="A153" s="22" t="n">
        <v>31507</v>
      </c>
      <c r="B153" s="22" t="inlineStr">
        <is>
          <t>2024-10-03</t>
        </is>
      </c>
      <c r="C153" s="22" t="inlineStr">
        <is>
          <t>2024</t>
        </is>
      </c>
      <c r="D153" s="22" t="inlineStr">
        <is>
          <t>2024-10</t>
        </is>
      </c>
      <c r="E153" s="22" t="inlineStr">
        <is>
          <t>Волохов Максим</t>
        </is>
      </c>
      <c r="F153" s="22" t="inlineStr">
        <is>
          <t>Доопрацювання: поля дат при створенні проекту з комерційної</t>
        </is>
      </c>
      <c r="G153" s="22" t="inlineStr">
        <is>
          <t>Перевірено підтягування дати з КП</t>
        </is>
      </c>
      <c r="H153" s="23" t="n">
        <v>0.25</v>
      </c>
      <c r="I153" s="23" t="n">
        <v>0.3333</v>
      </c>
      <c r="J153" s="23">
        <f>I153-H153</f>
        <v/>
      </c>
      <c r="K153" s="22" t="inlineStr">
        <is>
          <t>частково виставлено</t>
        </is>
      </c>
      <c r="L153" s="24">
        <f>INDEX(Ставки!$C$2:$C$44,MATCH(D153,Ставки!$A$2:$A$44,0))</f>
        <v/>
      </c>
      <c r="M153" s="24">
        <f>J153*L153</f>
        <v/>
      </c>
      <c r="N153" s="22" t="inlineStr"/>
    </row>
    <row r="154">
      <c r="A154" s="22" t="n">
        <v>32021</v>
      </c>
      <c r="B154" s="22" t="inlineStr">
        <is>
          <t>2024-10-14</t>
        </is>
      </c>
      <c r="C154" s="22" t="inlineStr">
        <is>
          <t>2024</t>
        </is>
      </c>
      <c r="D154" s="22" t="inlineStr">
        <is>
          <t>2024-10</t>
        </is>
      </c>
      <c r="E154" s="22" t="inlineStr">
        <is>
          <t>Адаменко Олесь</t>
        </is>
      </c>
      <c r="F154" s="22" t="inlineStr">
        <is>
          <t>Перенос серверу</t>
        </is>
      </c>
      <c r="G154" s="22" t="inlineStr">
        <is>
          <t>Перевірено статус переходу</t>
        </is>
      </c>
      <c r="H154" s="23" t="n">
        <v>0.25</v>
      </c>
      <c r="I154" s="23" t="n">
        <v>0.3</v>
      </c>
      <c r="J154" s="23">
        <f>I154-H154</f>
        <v/>
      </c>
      <c r="K154" s="22" t="inlineStr">
        <is>
          <t>частково виставлено</t>
        </is>
      </c>
      <c r="L154" s="24">
        <f>INDEX(Ставки!$C$2:$C$44,MATCH(D154,Ставки!$A$2:$A$44,0))</f>
        <v/>
      </c>
      <c r="M154" s="24">
        <f>J154*L154</f>
        <v/>
      </c>
      <c r="N154" s="22" t="inlineStr"/>
    </row>
    <row r="155">
      <c r="A155" s="22" t="n">
        <v>32631</v>
      </c>
      <c r="B155" s="22" t="inlineStr">
        <is>
          <t>2024-10-23</t>
        </is>
      </c>
      <c r="C155" s="22" t="inlineStr">
        <is>
          <t>2024</t>
        </is>
      </c>
      <c r="D155" s="22" t="inlineStr">
        <is>
          <t>2024-10</t>
        </is>
      </c>
      <c r="E155" s="22" t="inlineStr">
        <is>
          <t>Волохов Максим</t>
        </is>
      </c>
      <c r="F155" s="22" t="inlineStr">
        <is>
          <t>Питання не вірно приходять лист</t>
        </is>
      </c>
      <c r="G155" s="22" t="inlineStr">
        <is>
          <t>Проаналізовано відправлені листи. Листи в Odoo відправлено вірно, на пошті відображаються невірно.</t>
        </is>
      </c>
      <c r="H155" s="23" t="n">
        <v>1</v>
      </c>
      <c r="I155" s="23" t="n">
        <v>1.1167</v>
      </c>
      <c r="J155" s="23">
        <f>I155-H155</f>
        <v/>
      </c>
      <c r="K155" s="22" t="inlineStr">
        <is>
          <t>частково виставлено</t>
        </is>
      </c>
      <c r="L155" s="24">
        <f>INDEX(Ставки!$C$2:$C$44,MATCH(D155,Ставки!$A$2:$A$44,0))</f>
        <v/>
      </c>
      <c r="M155" s="24">
        <f>J155*L155</f>
        <v/>
      </c>
      <c r="N155" s="22" t="inlineStr"/>
    </row>
    <row r="156">
      <c r="A156" s="22" t="n">
        <v>32820</v>
      </c>
      <c r="B156" s="22" t="inlineStr">
        <is>
          <t>2024-10-28</t>
        </is>
      </c>
      <c r="C156" s="22" t="inlineStr">
        <is>
          <t>2024</t>
        </is>
      </c>
      <c r="D156" s="22" t="inlineStr">
        <is>
          <t>2024-10</t>
        </is>
      </c>
      <c r="E156" s="22" t="inlineStr">
        <is>
          <t>Волохов Максим</t>
        </is>
      </c>
      <c r="F156" s="22" t="inlineStr">
        <is>
          <t>Проблема: повторювана задача без послгуи.</t>
        </is>
      </c>
      <c r="G156" s="22" t="inlineStr">
        <is>
          <t>Тестування наявності проблеми</t>
        </is>
      </c>
      <c r="H156" s="23" t="n">
        <v>0.5</v>
      </c>
      <c r="I156" s="23" t="n">
        <v>0.6333</v>
      </c>
      <c r="J156" s="23">
        <f>I156-H156</f>
        <v/>
      </c>
      <c r="K156" s="22" t="inlineStr">
        <is>
          <t>частково виставлено</t>
        </is>
      </c>
      <c r="L156" s="24">
        <f>INDEX(Ставки!$C$2:$C$44,MATCH(D156,Ставки!$A$2:$A$44,0))</f>
        <v/>
      </c>
      <c r="M156" s="24">
        <f>J156*L156</f>
        <v/>
      </c>
      <c r="N156" s="22" t="inlineStr"/>
    </row>
    <row r="157">
      <c r="A157" s="22" t="n">
        <v>32821</v>
      </c>
      <c r="B157" s="22" t="inlineStr">
        <is>
          <t>2024-10-28</t>
        </is>
      </c>
      <c r="C157" s="22" t="inlineStr">
        <is>
          <t>2024</t>
        </is>
      </c>
      <c r="D157" s="22" t="inlineStr">
        <is>
          <t>2024-10</t>
        </is>
      </c>
      <c r="E157" s="22" t="inlineStr">
        <is>
          <t>Волохов Максим</t>
        </is>
      </c>
      <c r="F157" s="22" t="inlineStr">
        <is>
          <t>Проблема: повторювана задача без послгуи.</t>
        </is>
      </c>
      <c r="G157" s="22" t="inlineStr">
        <is>
          <t>Проаналізовано задачі, де віха не підтягнулась.  Причина: дублювання віх. Запущено скрипт</t>
        </is>
      </c>
      <c r="H157" s="23" t="n">
        <v>0</v>
      </c>
      <c r="I157" s="23" t="n">
        <v>0.3333</v>
      </c>
      <c r="J157" s="23">
        <f>I157-H157</f>
        <v/>
      </c>
      <c r="K157" s="22" t="inlineStr">
        <is>
          <t>безкоштовно (виставлено 0)</t>
        </is>
      </c>
      <c r="L157" s="24">
        <f>INDEX(Ставки!$C$2:$C$44,MATCH(D157,Ставки!$A$2:$A$44,0))</f>
        <v/>
      </c>
      <c r="M157" s="24">
        <f>J157*L157</f>
        <v/>
      </c>
      <c r="N157" s="22" t="inlineStr"/>
    </row>
    <row r="158">
      <c r="A158" s="22" t="n">
        <v>32824</v>
      </c>
      <c r="B158" s="22" t="inlineStr">
        <is>
          <t>2024-10-28</t>
        </is>
      </c>
      <c r="C158" s="22" t="inlineStr">
        <is>
          <t>2024</t>
        </is>
      </c>
      <c r="D158" s="22" t="inlineStr">
        <is>
          <t>2024-10</t>
        </is>
      </c>
      <c r="E158" s="22" t="inlineStr">
        <is>
          <t>Адаменко Олесь</t>
        </is>
      </c>
      <c r="F158" s="22" t="inlineStr">
        <is>
          <t>Доопрацювання: запис усіх дій по роботі у модулі проекти</t>
        </is>
      </c>
      <c r="G158" s="22" t="inlineStr">
        <is>
          <t>Поставлено задачу</t>
        </is>
      </c>
      <c r="H158" s="23" t="n">
        <v>0</v>
      </c>
      <c r="I158" s="23" t="n">
        <v>0.1333</v>
      </c>
      <c r="J158" s="23">
        <f>I158-H158</f>
        <v/>
      </c>
      <c r="K158" s="22" t="inlineStr">
        <is>
          <t>безкоштовно (виставлено 0)</t>
        </is>
      </c>
      <c r="L158" s="24">
        <f>INDEX(Ставки!$C$2:$C$44,MATCH(D158,Ставки!$A$2:$A$44,0))</f>
        <v/>
      </c>
      <c r="M158" s="24">
        <f>J158*L158</f>
        <v/>
      </c>
      <c r="N158" s="22" t="inlineStr"/>
    </row>
    <row r="159">
      <c r="A159" s="22" t="n">
        <v>32825</v>
      </c>
      <c r="B159" s="22" t="inlineStr">
        <is>
          <t>2024-10-28</t>
        </is>
      </c>
      <c r="C159" s="22" t="inlineStr">
        <is>
          <t>2024</t>
        </is>
      </c>
      <c r="D159" s="22" t="inlineStr">
        <is>
          <t>2024-10</t>
        </is>
      </c>
      <c r="E159" s="22" t="inlineStr">
        <is>
          <t>Адаменко Олесь</t>
        </is>
      </c>
      <c r="F159" s="22" t="inlineStr">
        <is>
          <t>Менеджмент  проекту</t>
        </is>
      </c>
      <c r="G159" s="22" t="inlineStr">
        <is>
          <t>Перевірено статуси по задачам: доробити фіксування логів, почистити віхи без послуги, проблеми з незаповненими віхами. Інші питання по проекту: статусна, об'єм годин, табелі працівників, години до вис</t>
        </is>
      </c>
      <c r="H159" s="23" t="n">
        <v>1.25</v>
      </c>
      <c r="I159" s="23" t="n">
        <v>1.2833</v>
      </c>
      <c r="J159" s="23">
        <f>I159-H159</f>
        <v/>
      </c>
      <c r="K159" s="22" t="inlineStr">
        <is>
          <t>частково виставлено</t>
        </is>
      </c>
      <c r="L159" s="24">
        <f>INDEX(Ставки!$C$2:$C$44,MATCH(D159,Ставки!$A$2:$A$44,0))</f>
        <v/>
      </c>
      <c r="M159" s="24">
        <f>J159*L159</f>
        <v/>
      </c>
      <c r="N159" s="22" t="inlineStr"/>
    </row>
    <row r="160">
      <c r="A160" s="22" t="n">
        <v>32910</v>
      </c>
      <c r="B160" s="22" t="inlineStr">
        <is>
          <t>2024-11-01</t>
        </is>
      </c>
      <c r="C160" s="22" t="inlineStr">
        <is>
          <t>2024</t>
        </is>
      </c>
      <c r="D160" s="22" t="inlineStr">
        <is>
          <t>2024-11</t>
        </is>
      </c>
      <c r="E160" s="22" t="inlineStr">
        <is>
          <t>Адаменко Олесь</t>
        </is>
      </c>
      <c r="F160" s="22" t="inlineStr">
        <is>
          <t>Дублювання КП на проекті: S000253 та S000254</t>
        </is>
      </c>
      <c r="G160" s="22" t="inlineStr">
        <is>
          <t>Проаналізлвано проблему. Створено задачу для трекінку питання</t>
        </is>
      </c>
      <c r="H160" s="23" t="n">
        <v>0.25</v>
      </c>
      <c r="I160" s="23" t="n">
        <v>0.2833</v>
      </c>
      <c r="J160" s="23">
        <f>I160-H160</f>
        <v/>
      </c>
      <c r="K160" s="22" t="inlineStr">
        <is>
          <t>частково виставлено</t>
        </is>
      </c>
      <c r="L160" s="24">
        <f>INDEX(Ставки!$C$2:$C$44,MATCH(D160,Ставки!$A$2:$A$44,0))</f>
        <v/>
      </c>
      <c r="M160" s="24">
        <f>J160*L160</f>
        <v/>
      </c>
      <c r="N160" s="22" t="inlineStr"/>
    </row>
    <row r="161">
      <c r="A161" s="22" t="n">
        <v>33227</v>
      </c>
      <c r="B161" s="22" t="inlineStr">
        <is>
          <t>2024-11-05</t>
        </is>
      </c>
      <c r="C161" s="22" t="inlineStr">
        <is>
          <t>2024</t>
        </is>
      </c>
      <c r="D161" s="22" t="inlineStr">
        <is>
          <t>2024-11</t>
        </is>
      </c>
      <c r="E161" s="22" t="inlineStr">
        <is>
          <t>Волохов Максим</t>
        </is>
      </c>
      <c r="F161" s="22" t="inlineStr">
        <is>
          <t>Змоделювати вплив відсутності КП на проект та звітність</t>
        </is>
      </c>
      <c r="G161" s="22" t="inlineStr">
        <is>
          <t>змодельовано вплив відсутності КП на проект та звітність</t>
        </is>
      </c>
      <c r="H161" s="23" t="n">
        <v>0.5</v>
      </c>
      <c r="I161" s="23" t="n">
        <v>0.5667</v>
      </c>
      <c r="J161" s="23">
        <f>I161-H161</f>
        <v/>
      </c>
      <c r="K161" s="22" t="inlineStr">
        <is>
          <t>частково виставлено</t>
        </is>
      </c>
      <c r="L161" s="24">
        <f>INDEX(Ставки!$C$2:$C$44,MATCH(D161,Ставки!$A$2:$A$44,0))</f>
        <v/>
      </c>
      <c r="M161" s="24">
        <f>J161*L161</f>
        <v/>
      </c>
      <c r="N161" s="22" t="inlineStr"/>
    </row>
    <row r="162">
      <c r="A162" s="22" t="n">
        <v>33542</v>
      </c>
      <c r="B162" s="22" t="inlineStr">
        <is>
          <t>2024-11-11</t>
        </is>
      </c>
      <c r="C162" s="22" t="inlineStr">
        <is>
          <t>2024</t>
        </is>
      </c>
      <c r="D162" s="22" t="inlineStr">
        <is>
          <t>2024-11</t>
        </is>
      </c>
      <c r="E162" s="22" t="inlineStr">
        <is>
          <t>Волохов Максим</t>
        </is>
      </c>
      <c r="F162" s="22" t="inlineStr">
        <is>
          <t>Питання по товару (Зміна типу товару для виставлення у рахунку Timing Materials)</t>
        </is>
      </c>
      <c r="G162" s="22" t="inlineStr">
        <is>
          <t>Змодельовано зміна типу товару з  проставленням  у рахунку час виставлених робіт</t>
        </is>
      </c>
      <c r="H162" s="23" t="n">
        <v>0.75</v>
      </c>
      <c r="I162" s="23" t="n">
        <v>0.8333</v>
      </c>
      <c r="J162" s="23">
        <f>I162-H162</f>
        <v/>
      </c>
      <c r="K162" s="22" t="inlineStr">
        <is>
          <t>частково виставлено</t>
        </is>
      </c>
      <c r="L162" s="24">
        <f>INDEX(Ставки!$C$2:$C$44,MATCH(D162,Ставки!$A$2:$A$44,0))</f>
        <v/>
      </c>
      <c r="M162" s="24">
        <f>J162*L162</f>
        <v/>
      </c>
      <c r="N162" s="22" t="inlineStr"/>
    </row>
    <row r="163">
      <c r="A163" s="22" t="n">
        <v>33581</v>
      </c>
      <c r="B163" s="22" t="inlineStr">
        <is>
          <t>2024-11-12</t>
        </is>
      </c>
      <c r="C163" s="22" t="inlineStr">
        <is>
          <t>2024</t>
        </is>
      </c>
      <c r="D163" s="22" t="inlineStr">
        <is>
          <t>2024-11</t>
        </is>
      </c>
      <c r="E163" s="22" t="inlineStr">
        <is>
          <t>Волохов Максим</t>
        </is>
      </c>
      <c r="F163" s="22" t="inlineStr">
        <is>
          <t>Питання не співпадає рядок замовлення на продаж</t>
        </is>
      </c>
      <c r="G163" s="22" t="inlineStr">
        <is>
          <t>Проаналізовано питання неспівпадіння значення рядок замовлення на продаж. Висновок, всі старі проекти які були створенні до доопрацювання рядок замовлення на продаж буде некоректна</t>
        </is>
      </c>
      <c r="H163" s="23" t="n">
        <v>1.5</v>
      </c>
      <c r="I163" s="23" t="n">
        <v>1.55</v>
      </c>
      <c r="J163" s="23">
        <f>I163-H163</f>
        <v/>
      </c>
      <c r="K163" s="22" t="inlineStr">
        <is>
          <t>частково виставлено</t>
        </is>
      </c>
      <c r="L163" s="24">
        <f>INDEX(Ставки!$C$2:$C$44,MATCH(D163,Ставки!$A$2:$A$44,0))</f>
        <v/>
      </c>
      <c r="M163" s="24">
        <f>J163*L163</f>
        <v/>
      </c>
      <c r="N163" s="22" t="inlineStr"/>
    </row>
    <row r="164">
      <c r="A164" s="22" t="n">
        <v>33817</v>
      </c>
      <c r="B164" s="22" t="inlineStr">
        <is>
          <t>2024-11-15</t>
        </is>
      </c>
      <c r="C164" s="22" t="inlineStr">
        <is>
          <t>2024</t>
        </is>
      </c>
      <c r="D164" s="22" t="inlineStr">
        <is>
          <t>2024-11</t>
        </is>
      </c>
      <c r="E164" s="22" t="inlineStr">
        <is>
          <t>Волохов Максим</t>
        </is>
      </c>
      <c r="F164" s="22" t="inlineStr">
        <is>
          <t>Відключити усі сповіщення пісдя 21:00</t>
        </is>
      </c>
      <c r="G164" s="22" t="inlineStr">
        <is>
          <t>Змінено налаштування крона. Розгорнуло локально базу для ручного відпрацювання кронів. Протестовано відправку повідомлень.</t>
        </is>
      </c>
      <c r="H164" s="23" t="n">
        <v>1.25</v>
      </c>
      <c r="I164" s="23" t="n">
        <v>1.2667</v>
      </c>
      <c r="J164" s="23">
        <f>I164-H164</f>
        <v/>
      </c>
      <c r="K164" s="22" t="inlineStr">
        <is>
          <t>частково виставлено</t>
        </is>
      </c>
      <c r="L164" s="24">
        <f>INDEX(Ставки!$C$2:$C$44,MATCH(D164,Ставки!$A$2:$A$44,0))</f>
        <v/>
      </c>
      <c r="M164" s="24">
        <f>J164*L164</f>
        <v/>
      </c>
      <c r="N164" s="22" t="inlineStr"/>
    </row>
    <row r="165">
      <c r="A165" s="22" t="n">
        <v>34044</v>
      </c>
      <c r="B165" s="22" t="inlineStr">
        <is>
          <t>2024-11-19</t>
        </is>
      </c>
      <c r="C165" s="22" t="inlineStr">
        <is>
          <t>2024</t>
        </is>
      </c>
      <c r="D165" s="22" t="inlineStr">
        <is>
          <t>2024-11</t>
        </is>
      </c>
      <c r="E165" s="22" t="inlineStr">
        <is>
          <t>Волохов Максим</t>
        </is>
      </c>
      <c r="F165" s="22" t="inlineStr">
        <is>
          <t>Питання не відправляється відповідь заявника з пошти у заявку</t>
        </is>
      </c>
      <c r="G165" s="22" t="inlineStr">
        <is>
          <t>Вирішене питання відправки листа відповіді</t>
        </is>
      </c>
      <c r="H165" s="23" t="n">
        <v>0.25</v>
      </c>
      <c r="I165" s="23" t="n">
        <v>0.3</v>
      </c>
      <c r="J165" s="23">
        <f>I165-H165</f>
        <v/>
      </c>
      <c r="K165" s="22" t="inlineStr">
        <is>
          <t>частково виставлено</t>
        </is>
      </c>
      <c r="L165" s="24">
        <f>INDEX(Ставки!$C$2:$C$44,MATCH(D165,Ставки!$A$2:$A$44,0))</f>
        <v/>
      </c>
      <c r="M165" s="24">
        <f>J165*L165</f>
        <v/>
      </c>
      <c r="N165" s="22" t="inlineStr"/>
    </row>
    <row r="166">
      <c r="A166" s="22" t="n">
        <v>34068</v>
      </c>
      <c r="B166" s="22" t="inlineStr">
        <is>
          <t>2024-11-19</t>
        </is>
      </c>
      <c r="C166" s="22" t="inlineStr">
        <is>
          <t>2024</t>
        </is>
      </c>
      <c r="D166" s="22" t="inlineStr">
        <is>
          <t>2024-11</t>
        </is>
      </c>
      <c r="E166" s="22" t="inlineStr">
        <is>
          <t>Волохов Максим</t>
        </is>
      </c>
      <c r="F166" s="22" t="inlineStr">
        <is>
          <t>Виправлення прав доступу</t>
        </is>
      </c>
      <c r="G166" s="22" t="inlineStr">
        <is>
          <t>Виправлення прав доступу</t>
        </is>
      </c>
      <c r="H166" s="23" t="n">
        <v>0</v>
      </c>
      <c r="I166" s="23" t="n">
        <v>0.75</v>
      </c>
      <c r="J166" s="23">
        <f>I166-H166</f>
        <v/>
      </c>
      <c r="K166" s="22" t="inlineStr">
        <is>
          <t>безкоштовно (виставлено 0)</t>
        </is>
      </c>
      <c r="L166" s="24">
        <f>INDEX(Ставки!$C$2:$C$44,MATCH(D166,Ставки!$A$2:$A$44,0))</f>
        <v/>
      </c>
      <c r="M166" s="24">
        <f>J166*L166</f>
        <v/>
      </c>
      <c r="N166" s="22" t="inlineStr"/>
    </row>
    <row r="167">
      <c r="A167" s="22" t="n">
        <v>34076</v>
      </c>
      <c r="B167" s="22" t="inlineStr">
        <is>
          <t>2024-11-20</t>
        </is>
      </c>
      <c r="C167" s="22" t="inlineStr">
        <is>
          <t>2024</t>
        </is>
      </c>
      <c r="D167" s="22" t="inlineStr">
        <is>
          <t>2024-11</t>
        </is>
      </c>
      <c r="E167" s="22" t="inlineStr">
        <is>
          <t>Пусташинський Юрій</t>
        </is>
      </c>
      <c r="F167" s="22" t="inlineStr">
        <is>
          <t>Виправлення прав доступу</t>
        </is>
      </c>
      <c r="G167" s="22" t="inlineStr">
        <is>
          <t>Виправлення прав доступу</t>
        </is>
      </c>
      <c r="H167" s="23" t="n">
        <v>0</v>
      </c>
      <c r="I167" s="23" t="n">
        <v>0.75</v>
      </c>
      <c r="J167" s="23">
        <f>I167-H167</f>
        <v/>
      </c>
      <c r="K167" s="22" t="inlineStr">
        <is>
          <t>безкоштовно (виставлено 0)</t>
        </is>
      </c>
      <c r="L167" s="24">
        <f>INDEX(Ставки!$C$2:$C$44,MATCH(D167,Ставки!$A$2:$A$44,0))</f>
        <v/>
      </c>
      <c r="M167" s="24">
        <f>J167*L167</f>
        <v/>
      </c>
      <c r="N167" s="22" t="inlineStr"/>
    </row>
    <row r="168">
      <c r="A168" s="22" t="n">
        <v>34322</v>
      </c>
      <c r="B168" s="22" t="inlineStr">
        <is>
          <t>2024-11-20</t>
        </is>
      </c>
      <c r="C168" s="22" t="inlineStr">
        <is>
          <t>2024</t>
        </is>
      </c>
      <c r="D168" s="22" t="inlineStr">
        <is>
          <t>2024-11</t>
        </is>
      </c>
      <c r="E168" s="22" t="inlineStr">
        <is>
          <t>Пусташинський Юрій</t>
        </is>
      </c>
      <c r="F168" s="22" t="inlineStr">
        <is>
          <t>Перевірка неправильної роботи базового функціоналу Odoo</t>
        </is>
      </c>
      <c r="G168" s="22" t="inlineStr">
        <is>
          <t>Пошук багу проблеми, яка призвела до багу з правами доступу</t>
        </is>
      </c>
      <c r="H168" s="23" t="n">
        <v>0.5</v>
      </c>
      <c r="I168" s="23" t="n">
        <v>0.75</v>
      </c>
      <c r="J168" s="23">
        <f>I168-H168</f>
        <v/>
      </c>
      <c r="K168" s="22" t="inlineStr">
        <is>
          <t>частково виставлено</t>
        </is>
      </c>
      <c r="L168" s="24">
        <f>INDEX(Ставки!$C$2:$C$44,MATCH(D168,Ставки!$A$2:$A$44,0))</f>
        <v/>
      </c>
      <c r="M168" s="24">
        <f>J168*L168</f>
        <v/>
      </c>
      <c r="N168" s="22" t="inlineStr"/>
    </row>
    <row r="169">
      <c r="A169" s="22" t="n">
        <v>34189</v>
      </c>
      <c r="B169" s="22" t="inlineStr">
        <is>
          <t>2024-11-22</t>
        </is>
      </c>
      <c r="C169" s="22" t="inlineStr">
        <is>
          <t>2024</t>
        </is>
      </c>
      <c r="D169" s="22" t="inlineStr">
        <is>
          <t>2024-11</t>
        </is>
      </c>
      <c r="E169" s="22" t="inlineStr">
        <is>
          <t>Волохов Максим</t>
        </is>
      </c>
      <c r="F169" s="22" t="inlineStr">
        <is>
          <t>Виправлення прав доступу</t>
        </is>
      </c>
      <c r="G169" s="22" t="inlineStr">
        <is>
          <t>Виправлені права доступу для користувачів</t>
        </is>
      </c>
      <c r="H169" s="23" t="n">
        <v>0</v>
      </c>
      <c r="I169" s="23" t="n">
        <v>0.25</v>
      </c>
      <c r="J169" s="23">
        <f>I169-H169</f>
        <v/>
      </c>
      <c r="K169" s="22" t="inlineStr">
        <is>
          <t>безкоштовно (виставлено 0)</t>
        </is>
      </c>
      <c r="L169" s="24">
        <f>INDEX(Ставки!$C$2:$C$44,MATCH(D169,Ставки!$A$2:$A$44,0))</f>
        <v/>
      </c>
      <c r="M169" s="24">
        <f>J169*L169</f>
        <v/>
      </c>
      <c r="N169" s="22" t="inlineStr"/>
    </row>
    <row r="170">
      <c r="A170" s="22" t="n">
        <v>34339</v>
      </c>
      <c r="B170" s="22" t="inlineStr">
        <is>
          <t>2024-11-26</t>
        </is>
      </c>
      <c r="C170" s="22" t="inlineStr">
        <is>
          <t>2024</t>
        </is>
      </c>
      <c r="D170" s="22" t="inlineStr">
        <is>
          <t>2024-11</t>
        </is>
      </c>
      <c r="E170" s="22" t="inlineStr">
        <is>
          <t>Степанова Валентина</t>
        </is>
      </c>
      <c r="F170" s="22" t="inlineStr">
        <is>
          <t>Збір вимог по управлінському обліку</t>
        </is>
      </c>
      <c r="G170" s="22" t="inlineStr">
        <is>
          <t>Зустріч: збір вимог згідно підготовленому списку питань</t>
        </is>
      </c>
      <c r="H170" s="23" t="n">
        <v>1</v>
      </c>
      <c r="I170" s="23" t="n">
        <v>1.0333</v>
      </c>
      <c r="J170" s="23">
        <f>I170-H170</f>
        <v/>
      </c>
      <c r="K170" s="22" t="inlineStr">
        <is>
          <t>частково виставлено</t>
        </is>
      </c>
      <c r="L170" s="24">
        <f>INDEX(Ставки!$C$2:$C$44,MATCH(D170,Ставки!$A$2:$A$44,0))</f>
        <v/>
      </c>
      <c r="M170" s="24">
        <f>J170*L170</f>
        <v/>
      </c>
      <c r="N170" s="22" t="inlineStr"/>
    </row>
    <row r="171">
      <c r="A171" s="22" t="n">
        <v>34340</v>
      </c>
      <c r="B171" s="22" t="inlineStr">
        <is>
          <t>2024-11-26</t>
        </is>
      </c>
      <c r="C171" s="22" t="inlineStr">
        <is>
          <t>2024</t>
        </is>
      </c>
      <c r="D171" s="22" t="inlineStr">
        <is>
          <t>2024-11</t>
        </is>
      </c>
      <c r="E171" s="22" t="inlineStr">
        <is>
          <t>Драгунов Сергій</t>
        </is>
      </c>
      <c r="F171" s="22" t="inlineStr">
        <is>
          <t>Збір вимог по управлінському обліку</t>
        </is>
      </c>
      <c r="G171" s="22" t="inlineStr">
        <is>
          <t>Зустріч: збір вимог згідно підготовленому списку питань</t>
        </is>
      </c>
      <c r="H171" s="23" t="n">
        <v>1</v>
      </c>
      <c r="I171" s="23" t="n">
        <v>1.0333</v>
      </c>
      <c r="J171" s="23">
        <f>I171-H171</f>
        <v/>
      </c>
      <c r="K171" s="22" t="inlineStr">
        <is>
          <t>частково виставлено</t>
        </is>
      </c>
      <c r="L171" s="24">
        <f>INDEX(Ставки!$C$2:$C$44,MATCH(D171,Ставки!$A$2:$A$44,0))</f>
        <v/>
      </c>
      <c r="M171" s="24">
        <f>J171*L171</f>
        <v/>
      </c>
      <c r="N171" s="22" t="inlineStr"/>
    </row>
    <row r="172">
      <c r="A172" s="22" t="n">
        <v>34366</v>
      </c>
      <c r="B172" s="22" t="inlineStr">
        <is>
          <t>2024-11-26</t>
        </is>
      </c>
      <c r="C172" s="22" t="inlineStr">
        <is>
          <t>2024</t>
        </is>
      </c>
      <c r="D172" s="22" t="inlineStr">
        <is>
          <t>2024-11</t>
        </is>
      </c>
      <c r="E172" s="22" t="inlineStr">
        <is>
          <t>Волохов Максим</t>
        </is>
      </c>
      <c r="F172" s="22" t="inlineStr">
        <is>
          <t>Питання перенеслись етапи завдань на Виконано.</t>
        </is>
      </c>
      <c r="G172" s="22" t="inlineStr">
        <is>
          <t>Проаналізовано через що було перенесені стадії</t>
        </is>
      </c>
      <c r="H172" s="23" t="n">
        <v>1</v>
      </c>
      <c r="I172" s="23" t="n">
        <v>1.0833</v>
      </c>
      <c r="J172" s="23">
        <f>I172-H172</f>
        <v/>
      </c>
      <c r="K172" s="22" t="inlineStr">
        <is>
          <t>частково виставлено</t>
        </is>
      </c>
      <c r="L172" s="24">
        <f>INDEX(Ставки!$C$2:$C$44,MATCH(D172,Ставки!$A$2:$A$44,0))</f>
        <v/>
      </c>
      <c r="M172" s="24">
        <f>J172*L172</f>
        <v/>
      </c>
      <c r="N172" s="22" t="inlineStr"/>
    </row>
    <row r="173">
      <c r="A173" s="22" t="n">
        <v>34721</v>
      </c>
      <c r="B173" s="22" t="inlineStr">
        <is>
          <t>2024-12-03</t>
        </is>
      </c>
      <c r="C173" s="22" t="inlineStr">
        <is>
          <t>2024</t>
        </is>
      </c>
      <c r="D173" s="22" t="inlineStr">
        <is>
          <t>2024-12</t>
        </is>
      </c>
      <c r="E173" s="22" t="inlineStr">
        <is>
          <t>Адаменко Олесь</t>
        </is>
      </c>
      <c r="F173" s="22" t="inlineStr">
        <is>
          <t>Менеджмент  проекту</t>
        </is>
      </c>
      <c r="G173" s="22" t="inlineStr">
        <is>
          <t>Відзвітовано по усім задачам за листопад. Проговорено відкриті питання.</t>
        </is>
      </c>
      <c r="H173" s="23" t="n">
        <v>1</v>
      </c>
      <c r="I173" s="23" t="n">
        <v>1.0833</v>
      </c>
      <c r="J173" s="23">
        <f>I173-H173</f>
        <v/>
      </c>
      <c r="K173" s="22" t="inlineStr">
        <is>
          <t>частково виставлено</t>
        </is>
      </c>
      <c r="L173" s="24">
        <f>INDEX(Ставки!$C$2:$C$44,MATCH(D173,Ставки!$A$2:$A$44,0))</f>
        <v/>
      </c>
      <c r="M173" s="24">
        <f>J173*L173</f>
        <v/>
      </c>
      <c r="N173" s="22" t="inlineStr"/>
    </row>
    <row r="174">
      <c r="A174" s="22" t="n">
        <v>34724</v>
      </c>
      <c r="B174" s="22" t="inlineStr">
        <is>
          <t>2024-12-03</t>
        </is>
      </c>
      <c r="C174" s="22" t="inlineStr">
        <is>
          <t>2024</t>
        </is>
      </c>
      <c r="D174" s="22" t="inlineStr">
        <is>
          <t>2024-12</t>
        </is>
      </c>
      <c r="E174" s="22" t="inlineStr">
        <is>
          <t>Адаменко Олесь</t>
        </is>
      </c>
      <c r="F174" s="22" t="inlineStr">
        <is>
          <t>Створення витратної номенклатри</t>
        </is>
      </c>
      <c r="G174" s="22" t="inlineStr">
        <is>
          <t>Описано задачу. План робіт по задачі з урахування про працювання ризиків: повторно перевірити вплив зміни та обговорити зі спеціалістами.</t>
        </is>
      </c>
      <c r="H174" s="23" t="n">
        <v>0.25</v>
      </c>
      <c r="I174" s="23" t="n">
        <v>0.2667</v>
      </c>
      <c r="J174" s="23">
        <f>I174-H174</f>
        <v/>
      </c>
      <c r="K174" s="22" t="inlineStr">
        <is>
          <t>частково виставлено</t>
        </is>
      </c>
      <c r="L174" s="24">
        <f>INDEX(Ставки!$C$2:$C$44,MATCH(D174,Ставки!$A$2:$A$44,0))</f>
        <v/>
      </c>
      <c r="M174" s="24">
        <f>J174*L174</f>
        <v/>
      </c>
      <c r="N174" s="22" t="inlineStr"/>
    </row>
    <row r="175">
      <c r="A175" s="22" t="n">
        <v>34756</v>
      </c>
      <c r="B175" s="22" t="inlineStr">
        <is>
          <t>2024-12-04</t>
        </is>
      </c>
      <c r="C175" s="22" t="inlineStr">
        <is>
          <t>2024</t>
        </is>
      </c>
      <c r="D175" s="22" t="inlineStr">
        <is>
          <t>2024-12</t>
        </is>
      </c>
      <c r="E175" s="22" t="inlineStr">
        <is>
          <t>Степанова Валентина</t>
        </is>
      </c>
      <c r="F175" s="22" t="inlineStr">
        <is>
          <t>Збір вимог по управлінському обліку</t>
        </is>
      </c>
      <c r="G175" s="22" t="inlineStr">
        <is>
          <t>Проаналізовано надані дані:</t>
        </is>
      </c>
      <c r="H175" s="23" t="n">
        <v>1</v>
      </c>
      <c r="I175" s="23" t="n">
        <v>1.1667</v>
      </c>
      <c r="J175" s="23">
        <f>I175-H175</f>
        <v/>
      </c>
      <c r="K175" s="22" t="inlineStr">
        <is>
          <t>частково виставлено</t>
        </is>
      </c>
      <c r="L175" s="24">
        <f>INDEX(Ставки!$C$2:$C$44,MATCH(D175,Ставки!$A$2:$A$44,0))</f>
        <v/>
      </c>
      <c r="M175" s="24">
        <f>J175*L175</f>
        <v/>
      </c>
      <c r="N175" s="22" t="inlineStr"/>
    </row>
    <row r="176">
      <c r="A176" s="22" t="n">
        <v>34757</v>
      </c>
      <c r="B176" s="22" t="inlineStr">
        <is>
          <t>2024-12-04</t>
        </is>
      </c>
      <c r="C176" s="22" t="inlineStr">
        <is>
          <t>2024</t>
        </is>
      </c>
      <c r="D176" s="22" t="inlineStr">
        <is>
          <t>2024-12</t>
        </is>
      </c>
      <c r="E176" s="22" t="inlineStr">
        <is>
          <t>Драгунов Сергій</t>
        </is>
      </c>
      <c r="F176" s="22" t="inlineStr">
        <is>
          <t>Збір вимог по управлінському обліку</t>
        </is>
      </c>
      <c r="G176" s="22" t="inlineStr">
        <is>
          <t>Проаналізовано надані дані:</t>
        </is>
      </c>
      <c r="H176" s="23" t="n">
        <v>1</v>
      </c>
      <c r="I176" s="23" t="n">
        <v>1.1667</v>
      </c>
      <c r="J176" s="23">
        <f>I176-H176</f>
        <v/>
      </c>
      <c r="K176" s="22" t="inlineStr">
        <is>
          <t>частково виставлено</t>
        </is>
      </c>
      <c r="L176" s="24">
        <f>INDEX(Ставки!$C$2:$C$44,MATCH(D176,Ставки!$A$2:$A$44,0))</f>
        <v/>
      </c>
      <c r="M176" s="24">
        <f>J176*L176</f>
        <v/>
      </c>
      <c r="N176" s="22" t="inlineStr"/>
    </row>
    <row r="177">
      <c r="A177" s="22" t="n">
        <v>34758</v>
      </c>
      <c r="B177" s="22" t="inlineStr">
        <is>
          <t>2024-12-04</t>
        </is>
      </c>
      <c r="C177" s="22" t="inlineStr">
        <is>
          <t>2024</t>
        </is>
      </c>
      <c r="D177" s="22" t="inlineStr">
        <is>
          <t>2024-12</t>
        </is>
      </c>
      <c r="E177" s="22" t="inlineStr">
        <is>
          <t>Адаменко Олесь</t>
        </is>
      </c>
      <c r="F177" s="22" t="inlineStr">
        <is>
          <t>Збір вимог по управлінському обліку</t>
        </is>
      </c>
      <c r="G177" s="22" t="inlineStr">
        <is>
          <t>Оброблено питання спеціалістів. Підготовлено питання.</t>
        </is>
      </c>
      <c r="H177" s="23" t="n">
        <v>1</v>
      </c>
      <c r="I177" s="23" t="n">
        <v>1.1667</v>
      </c>
      <c r="J177" s="23">
        <f>I177-H177</f>
        <v/>
      </c>
      <c r="K177" s="22" t="inlineStr">
        <is>
          <t>частково виставлено</t>
        </is>
      </c>
      <c r="L177" s="24">
        <f>INDEX(Ставки!$C$2:$C$44,MATCH(D177,Ставки!$A$2:$A$44,0))</f>
        <v/>
      </c>
      <c r="M177" s="24">
        <f>J177*L177</f>
        <v/>
      </c>
      <c r="N177" s="22" t="inlineStr"/>
    </row>
    <row r="178">
      <c r="A178" s="22" t="n">
        <v>34791</v>
      </c>
      <c r="B178" s="22" t="inlineStr">
        <is>
          <t>2024-12-04</t>
        </is>
      </c>
      <c r="C178" s="22" t="inlineStr">
        <is>
          <t>2024</t>
        </is>
      </c>
      <c r="D178" s="22" t="inlineStr">
        <is>
          <t>2024-12</t>
        </is>
      </c>
      <c r="E178" s="22" t="inlineStr">
        <is>
          <t>Волохов Максим</t>
        </is>
      </c>
      <c r="F178" s="22" t="inlineStr">
        <is>
          <t>Видалити КП та видалити проект на прод базі</t>
        </is>
      </c>
      <c r="G178" s="22" t="inlineStr">
        <is>
          <t>Видалено Комерційну пропозицію, по проекту видалити не вдалось так як видає помилку та посилаеться на завадання</t>
        </is>
      </c>
      <c r="H178" s="23" t="n">
        <v>1</v>
      </c>
      <c r="I178" s="23" t="n">
        <v>1.0333</v>
      </c>
      <c r="J178" s="23">
        <f>I178-H178</f>
        <v/>
      </c>
      <c r="K178" s="22" t="inlineStr">
        <is>
          <t>частково виставлено</t>
        </is>
      </c>
      <c r="L178" s="24">
        <f>INDEX(Ставки!$C$2:$C$44,MATCH(D178,Ставки!$A$2:$A$44,0))</f>
        <v/>
      </c>
      <c r="M178" s="24">
        <f>J178*L178</f>
        <v/>
      </c>
      <c r="N178" s="22" t="inlineStr"/>
    </row>
    <row r="179">
      <c r="A179" s="22" t="n">
        <v>35079</v>
      </c>
      <c r="B179" s="22" t="inlineStr">
        <is>
          <t>2024-12-10</t>
        </is>
      </c>
      <c r="C179" s="22" t="inlineStr">
        <is>
          <t>2024</t>
        </is>
      </c>
      <c r="D179" s="22" t="inlineStr">
        <is>
          <t>2024-12</t>
        </is>
      </c>
      <c r="E179" s="22" t="inlineStr">
        <is>
          <t>Адаменко Олесь</t>
        </is>
      </c>
      <c r="F179" s="22" t="inlineStr">
        <is>
          <t>Менеджмент  проекту</t>
        </is>
      </c>
      <c r="G179" s="22" t="inlineStr">
        <is>
          <t>Перевірено статуси виконання задач. Скореговано виконання задчі по проблемі рекрутера. Сплановано наступні кроки по задачі для виявленян проблеми та усунення</t>
        </is>
      </c>
      <c r="H179" s="23" t="n">
        <v>0.5</v>
      </c>
      <c r="I179" s="23" t="n">
        <v>0.5667</v>
      </c>
      <c r="J179" s="23">
        <f>I179-H179</f>
        <v/>
      </c>
      <c r="K179" s="22" t="inlineStr">
        <is>
          <t>частково виставлено</t>
        </is>
      </c>
      <c r="L179" s="24">
        <f>INDEX(Ставки!$C$2:$C$44,MATCH(D179,Ставки!$A$2:$A$44,0))</f>
        <v/>
      </c>
      <c r="M179" s="24">
        <f>J179*L179</f>
        <v/>
      </c>
      <c r="N179" s="22" t="inlineStr"/>
    </row>
    <row r="180">
      <c r="A180" s="22" t="n">
        <v>35108</v>
      </c>
      <c r="B180" s="22" t="inlineStr">
        <is>
          <t>2024-12-10</t>
        </is>
      </c>
      <c r="C180" s="22" t="inlineStr">
        <is>
          <t>2024</t>
        </is>
      </c>
      <c r="D180" s="22" t="inlineStr">
        <is>
          <t>2024-12</t>
        </is>
      </c>
      <c r="E180" s="22" t="inlineStr">
        <is>
          <t>Волохов Максим</t>
        </is>
      </c>
      <c r="F180" s="22" t="inlineStr">
        <is>
          <t>Проблема: не створюються відпустки на 25-й рік</t>
        </is>
      </c>
      <c r="G180" s="22" t="inlineStr">
        <is>
          <t>Проаналізовано чому співробітники не можуть брати відпустку на 2025 рік. Висновок: не має розподілення на 2025 рік.</t>
        </is>
      </c>
      <c r="H180" s="23" t="n">
        <v>1</v>
      </c>
      <c r="I180" s="23" t="n">
        <v>1.0333</v>
      </c>
      <c r="J180" s="23">
        <f>I180-H180</f>
        <v/>
      </c>
      <c r="K180" s="22" t="inlineStr">
        <is>
          <t>частково виставлено</t>
        </is>
      </c>
      <c r="L180" s="24">
        <f>INDEX(Ставки!$C$2:$C$44,MATCH(D180,Ставки!$A$2:$A$44,0))</f>
        <v/>
      </c>
      <c r="M180" s="24">
        <f>J180*L180</f>
        <v/>
      </c>
      <c r="N180" s="22" t="inlineStr"/>
    </row>
    <row r="181">
      <c r="A181" s="22" t="n">
        <v>35426</v>
      </c>
      <c r="B181" s="22" t="inlineStr">
        <is>
          <t>2024-12-16</t>
        </is>
      </c>
      <c r="C181" s="22" t="inlineStr">
        <is>
          <t>2024</t>
        </is>
      </c>
      <c r="D181" s="22" t="inlineStr">
        <is>
          <t>2024-12</t>
        </is>
      </c>
      <c r="E181" s="22" t="inlineStr">
        <is>
          <t>Волохов Максим</t>
        </is>
      </c>
      <c r="F181" s="22" t="inlineStr">
        <is>
          <t>Питання: співробітник не може проставляти табель.</t>
        </is>
      </c>
      <c r="G181" s="22" t="inlineStr">
        <is>
          <t>Проаналізовано чому співробітник не може проставляти свої табеля. Відповідь: Співробітника було створено вручну не через користувача системи.</t>
        </is>
      </c>
      <c r="H181" s="23" t="n">
        <v>0.75</v>
      </c>
      <c r="I181" s="23" t="n">
        <v>0.8333</v>
      </c>
      <c r="J181" s="23">
        <f>I181-H181</f>
        <v/>
      </c>
      <c r="K181" s="22" t="inlineStr">
        <is>
          <t>частково виставлено</t>
        </is>
      </c>
      <c r="L181" s="24">
        <f>INDEX(Ставки!$C$2:$C$44,MATCH(D181,Ставки!$A$2:$A$44,0))</f>
        <v/>
      </c>
      <c r="M181" s="24">
        <f>J181*L181</f>
        <v/>
      </c>
      <c r="N181" s="22" t="inlineStr"/>
    </row>
    <row r="182">
      <c r="A182" s="22" t="n">
        <v>35468</v>
      </c>
      <c r="B182" s="22" t="inlineStr">
        <is>
          <t>2024-12-17</t>
        </is>
      </c>
      <c r="C182" s="22" t="inlineStr">
        <is>
          <t>2024</t>
        </is>
      </c>
      <c r="D182" s="22" t="inlineStr">
        <is>
          <t>2024-12</t>
        </is>
      </c>
      <c r="E182" s="22" t="inlineStr">
        <is>
          <t>Волохов Максим</t>
        </is>
      </c>
      <c r="F182" s="22" t="inlineStr">
        <is>
          <t>Проблема: робота відправки повідомлень з модуля рекрутинг</t>
        </is>
      </c>
      <c r="G182" s="22" t="inlineStr">
        <is>
          <t>Зустріч з замовником по проблемі відправки листів з модуля Рекрутинг</t>
        </is>
      </c>
      <c r="H182" s="23" t="n">
        <v>0.25</v>
      </c>
      <c r="I182" s="23" t="n">
        <v>0.3333</v>
      </c>
      <c r="J182" s="23">
        <f>I182-H182</f>
        <v/>
      </c>
      <c r="K182" s="22" t="inlineStr">
        <is>
          <t>частково виставлено</t>
        </is>
      </c>
      <c r="L182" s="24">
        <f>INDEX(Ставки!$C$2:$C$44,MATCH(D182,Ставки!$A$2:$A$44,0))</f>
        <v/>
      </c>
      <c r="M182" s="24">
        <f>J182*L182</f>
        <v/>
      </c>
      <c r="N182" s="22" t="inlineStr"/>
    </row>
    <row r="183">
      <c r="A183" s="22" t="n">
        <v>35498</v>
      </c>
      <c r="B183" s="22" t="inlineStr">
        <is>
          <t>2024-12-18</t>
        </is>
      </c>
      <c r="C183" s="22" t="inlineStr">
        <is>
          <t>2024</t>
        </is>
      </c>
      <c r="D183" s="22" t="inlineStr">
        <is>
          <t>2024-12</t>
        </is>
      </c>
      <c r="E183" s="22" t="inlineStr">
        <is>
          <t>Пусташинський Юрій</t>
        </is>
      </c>
      <c r="F183" s="22" t="inlineStr">
        <is>
          <t>Доопрацювання: прибрати зміну дат задач при відпустці</t>
        </is>
      </c>
      <c r="G183" s="22" t="inlineStr">
        <is>
          <t>Виправлення помилки</t>
        </is>
      </c>
      <c r="H183" s="23" t="n">
        <v>0</v>
      </c>
      <c r="I183" s="23" t="n">
        <v>0.5</v>
      </c>
      <c r="J183" s="23">
        <f>I183-H183</f>
        <v/>
      </c>
      <c r="K183" s="22" t="inlineStr">
        <is>
          <t>безкоштовно (виставлено 0)</t>
        </is>
      </c>
      <c r="L183" s="24">
        <f>INDEX(Ставки!$C$2:$C$44,MATCH(D183,Ставки!$A$2:$A$44,0))</f>
        <v/>
      </c>
      <c r="M183" s="24">
        <f>J183*L183</f>
        <v/>
      </c>
      <c r="N183" s="22" t="inlineStr"/>
    </row>
    <row r="184">
      <c r="A184" s="22" t="n">
        <v>36149</v>
      </c>
      <c r="B184" s="22" t="inlineStr">
        <is>
          <t>2025-01-07</t>
        </is>
      </c>
      <c r="C184" s="22" t="inlineStr">
        <is>
          <t>2025</t>
        </is>
      </c>
      <c r="D184" s="22" t="inlineStr">
        <is>
          <t>2025-01</t>
        </is>
      </c>
      <c r="E184" s="22" t="inlineStr">
        <is>
          <t>Адаменко Олесь</t>
        </is>
      </c>
      <c r="F184" s="22" t="inlineStr">
        <is>
          <t>Проблема: правильність прив'язки елементів замовння на продаж</t>
        </is>
      </c>
      <c r="G184" s="22" t="inlineStr">
        <is>
          <t>Розробка технічного рішення роботи скрипта</t>
        </is>
      </c>
      <c r="H184" s="23" t="n">
        <v>0</v>
      </c>
      <c r="I184" s="23" t="n">
        <v>0.5</v>
      </c>
      <c r="J184" s="23">
        <f>I184-H184</f>
        <v/>
      </c>
      <c r="K184" s="22" t="inlineStr">
        <is>
          <t>безкоштовно (виставлено 0)</t>
        </is>
      </c>
      <c r="L184" s="24">
        <f>INDEX(Ставки!$C$2:$C$44,MATCH(D184,Ставки!$A$2:$A$44,0))</f>
        <v/>
      </c>
      <c r="M184" s="24">
        <f>J184*L184</f>
        <v/>
      </c>
      <c r="N184" s="22" t="inlineStr"/>
    </row>
    <row r="185">
      <c r="A185" s="22" t="n">
        <v>36187</v>
      </c>
      <c r="B185" s="22" t="inlineStr">
        <is>
          <t>2025-01-08</t>
        </is>
      </c>
      <c r="C185" s="22" t="inlineStr">
        <is>
          <t>2025</t>
        </is>
      </c>
      <c r="D185" s="22" t="inlineStr">
        <is>
          <t>2025-01</t>
        </is>
      </c>
      <c r="E185" s="22" t="inlineStr">
        <is>
          <t>Адаменко Олесь</t>
        </is>
      </c>
      <c r="F185" s="22" t="inlineStr">
        <is>
          <t>Проблема: правильність прив'язки елементів замовння на продаж</t>
        </is>
      </c>
      <c r="G185" s="22" t="inlineStr">
        <is>
          <t>Аналіз проблеми з множинними віхами та елементами замовлення на продаж</t>
        </is>
      </c>
      <c r="H185" s="23" t="n">
        <v>0</v>
      </c>
      <c r="I185" s="23" t="n">
        <v>0.65</v>
      </c>
      <c r="J185" s="23">
        <f>I185-H185</f>
        <v/>
      </c>
      <c r="K185" s="22" t="inlineStr">
        <is>
          <t>безкоштовно (виставлено 0)</t>
        </is>
      </c>
      <c r="L185" s="24">
        <f>INDEX(Ставки!$C$2:$C$44,MATCH(D185,Ставки!$A$2:$A$44,0))</f>
        <v/>
      </c>
      <c r="M185" s="24">
        <f>J185*L185</f>
        <v/>
      </c>
      <c r="N185" s="22" t="inlineStr"/>
    </row>
    <row r="186">
      <c r="A186" s="22" t="n">
        <v>36281</v>
      </c>
      <c r="B186" s="22" t="inlineStr">
        <is>
          <t>2025-01-10</t>
        </is>
      </c>
      <c r="C186" s="22" t="inlineStr">
        <is>
          <t>2025</t>
        </is>
      </c>
      <c r="D186" s="22" t="inlineStr">
        <is>
          <t>2025-01</t>
        </is>
      </c>
      <c r="E186" s="22" t="inlineStr">
        <is>
          <t>Адаменко Олесь</t>
        </is>
      </c>
      <c r="F186" s="22" t="inlineStr">
        <is>
          <t>Менеджмент  проекту</t>
        </is>
      </c>
      <c r="G186" s="22" t="inlineStr">
        <is>
          <t>Проведено зустріч з замовником по питанням: елементи замовлення на продаж; задачі віхи "Sales"</t>
        </is>
      </c>
      <c r="H186" s="23" t="n">
        <v>1.25</v>
      </c>
      <c r="I186" s="23" t="n">
        <v>1.2833</v>
      </c>
      <c r="J186" s="23">
        <f>I186-H186</f>
        <v/>
      </c>
      <c r="K186" s="22" t="inlineStr">
        <is>
          <t>частково виставлено</t>
        </is>
      </c>
      <c r="L186" s="24">
        <f>INDEX(Ставки!$C$2:$C$44,MATCH(D186,Ставки!$A$2:$A$44,0))</f>
        <v/>
      </c>
      <c r="M186" s="24">
        <f>J186*L186</f>
        <v/>
      </c>
      <c r="N186" s="22" t="inlineStr"/>
    </row>
    <row r="187">
      <c r="A187" s="22" t="n">
        <v>36408</v>
      </c>
      <c r="B187" s="22" t="inlineStr">
        <is>
          <t>2025-01-13</t>
        </is>
      </c>
      <c r="C187" s="22" t="inlineStr">
        <is>
          <t>2025</t>
        </is>
      </c>
      <c r="D187" s="22" t="inlineStr">
        <is>
          <t>2025-01</t>
        </is>
      </c>
      <c r="E187" s="22" t="inlineStr">
        <is>
          <t>Волохов Максим</t>
        </is>
      </c>
      <c r="F187" s="22" t="inlineStr">
        <is>
          <t>Розібратись: Взяття відпустки на пів дня</t>
        </is>
      </c>
      <c r="G187" s="22" t="inlineStr">
        <is>
          <t>Змодельована взяття відпусток на пів дня, на інших тестових базах для загального поняття прораховання відпустки на пів дня</t>
        </is>
      </c>
      <c r="H187" s="23" t="n">
        <v>0.5</v>
      </c>
      <c r="I187" s="23" t="n">
        <v>0.6667</v>
      </c>
      <c r="J187" s="23">
        <f>I187-H187</f>
        <v/>
      </c>
      <c r="K187" s="22" t="inlineStr">
        <is>
          <t>частково виставлено</t>
        </is>
      </c>
      <c r="L187" s="24">
        <f>INDEX(Ставки!$C$2:$C$44,MATCH(D187,Ставки!$A$2:$A$44,0))</f>
        <v/>
      </c>
      <c r="M187" s="24">
        <f>J187*L187</f>
        <v/>
      </c>
      <c r="N187" s="22" t="inlineStr"/>
    </row>
    <row r="188">
      <c r="A188" s="22" t="n">
        <v>36407</v>
      </c>
      <c r="B188" s="22" t="inlineStr">
        <is>
          <t>2025-01-14</t>
        </is>
      </c>
      <c r="C188" s="22" t="inlineStr">
        <is>
          <t>2025</t>
        </is>
      </c>
      <c r="D188" s="22" t="inlineStr">
        <is>
          <t>2025-01</t>
        </is>
      </c>
      <c r="E188" s="22" t="inlineStr">
        <is>
          <t>Пусташинський Юрій</t>
        </is>
      </c>
      <c r="F188" s="22" t="inlineStr">
        <is>
          <t>Розібратись: Взяття відпустки на пів дня</t>
        </is>
      </c>
      <c r="G188" s="22" t="inlineStr">
        <is>
          <t>Виконано, згідно вимог Замовника</t>
        </is>
      </c>
      <c r="H188" s="23" t="n">
        <v>0</v>
      </c>
      <c r="I188" s="23" t="n">
        <v>1</v>
      </c>
      <c r="J188" s="23">
        <f>I188-H188</f>
        <v/>
      </c>
      <c r="K188" s="22" t="inlineStr">
        <is>
          <t>безкоштовно (виставлено 0)</t>
        </is>
      </c>
      <c r="L188" s="24">
        <f>INDEX(Ставки!$C$2:$C$44,MATCH(D188,Ставки!$A$2:$A$44,0))</f>
        <v/>
      </c>
      <c r="M188" s="24">
        <f>J188*L188</f>
        <v/>
      </c>
      <c r="N188" s="22" t="inlineStr"/>
    </row>
    <row r="189">
      <c r="A189" s="22" t="n">
        <v>37640</v>
      </c>
      <c r="B189" s="22" t="inlineStr">
        <is>
          <t>2025-02-03</t>
        </is>
      </c>
      <c r="C189" s="22" t="inlineStr">
        <is>
          <t>2025</t>
        </is>
      </c>
      <c r="D189" s="22" t="inlineStr">
        <is>
          <t>2025-02</t>
        </is>
      </c>
      <c r="E189" s="22" t="inlineStr">
        <is>
          <t>Волохов Максим</t>
        </is>
      </c>
      <c r="F189" s="22" t="inlineStr">
        <is>
          <t>Аналіз питаннь заданих замовником в Телеграммі за 04.02.2025</t>
        </is>
      </c>
      <c r="G189" s="22" t="inlineStr">
        <is>
          <t>Відповіді на інші питання замовника, а саме зміна назви шаблонного проекту, створення нових товарів та шаблонних проектів, зміна назви та опису існуючих товарів та шаблонних проектів</t>
        </is>
      </c>
      <c r="H189" s="23" t="n">
        <v>0.25</v>
      </c>
      <c r="I189" s="23" t="n">
        <v>0.3167</v>
      </c>
      <c r="J189" s="23">
        <f>I189-H189</f>
        <v/>
      </c>
      <c r="K189" s="22" t="inlineStr">
        <is>
          <t>частково виставлено</t>
        </is>
      </c>
      <c r="L189" s="24">
        <f>INDEX(Ставки!$C$2:$C$44,MATCH(D189,Ставки!$A$2:$A$44,0))</f>
        <v/>
      </c>
      <c r="M189" s="24">
        <f>J189*L189</f>
        <v/>
      </c>
      <c r="N189" s="22" t="inlineStr"/>
    </row>
    <row r="190">
      <c r="A190" s="22" t="n">
        <v>37677</v>
      </c>
      <c r="B190" s="22" t="inlineStr">
        <is>
          <t>2025-02-04</t>
        </is>
      </c>
      <c r="C190" s="22" t="inlineStr">
        <is>
          <t>2025</t>
        </is>
      </c>
      <c r="D190" s="22" t="inlineStr">
        <is>
          <t>2025-02</t>
        </is>
      </c>
      <c r="E190" s="22" t="inlineStr">
        <is>
          <t>Адаменко Олесь</t>
        </is>
      </c>
      <c r="F190" s="22" t="inlineStr">
        <is>
          <t>Збір вимог по управлінському обліку</t>
        </is>
      </c>
      <c r="G190" s="22" t="inlineStr">
        <is>
          <t>Внутрішня зустріч: фінальна підготовка до старту робіт по проекту. Підготували питання до зустрічі</t>
        </is>
      </c>
      <c r="H190" s="23" t="n">
        <v>0.5</v>
      </c>
      <c r="I190" s="23" t="n">
        <v>0.75</v>
      </c>
      <c r="J190" s="23">
        <f>I190-H190</f>
        <v/>
      </c>
      <c r="K190" s="22" t="inlineStr">
        <is>
          <t>частково виставлено</t>
        </is>
      </c>
      <c r="L190" s="24">
        <f>INDEX(Ставки!$C$2:$C$44,MATCH(D190,Ставки!$A$2:$A$44,0))</f>
        <v/>
      </c>
      <c r="M190" s="24">
        <f>J190*L190</f>
        <v/>
      </c>
      <c r="N190" s="22" t="inlineStr"/>
    </row>
    <row r="191">
      <c r="A191" s="22" t="n">
        <v>37910</v>
      </c>
      <c r="B191" s="22" t="inlineStr">
        <is>
          <t>2025-02-06</t>
        </is>
      </c>
      <c r="C191" s="22" t="inlineStr">
        <is>
          <t>2025</t>
        </is>
      </c>
      <c r="D191" s="22" t="inlineStr">
        <is>
          <t>2025-02</t>
        </is>
      </c>
      <c r="E191" s="22" t="inlineStr">
        <is>
          <t>Волохов Максим</t>
        </is>
      </c>
      <c r="F191" s="22" t="inlineStr">
        <is>
          <t>Питання: Чи можливо прибрати щоб якщо сторюється проект з шаблонного завдання не проставлялись значення кінцевий термін</t>
        </is>
      </c>
      <c r="G191" s="22" t="inlineStr">
        <is>
          <t>Підготовлена розгорнута відповідь по причині неможливості припрати дати з задач які створенні з шаблонного проекту.</t>
        </is>
      </c>
      <c r="H191" s="23" t="n">
        <v>0.5</v>
      </c>
      <c r="I191" s="23" t="n">
        <v>0.5333</v>
      </c>
      <c r="J191" s="23">
        <f>I191-H191</f>
        <v/>
      </c>
      <c r="K191" s="22" t="inlineStr">
        <is>
          <t>частково виставлено</t>
        </is>
      </c>
      <c r="L191" s="24">
        <f>INDEX(Ставки!$C$2:$C$44,MATCH(D191,Ставки!$A$2:$A$44,0))</f>
        <v/>
      </c>
      <c r="M191" s="24">
        <f>J191*L191</f>
        <v/>
      </c>
      <c r="N191" s="22" t="inlineStr"/>
    </row>
    <row r="192">
      <c r="A192" s="22" t="n">
        <v>37927</v>
      </c>
      <c r="B192" s="22" t="inlineStr">
        <is>
          <t>2025-02-06</t>
        </is>
      </c>
      <c r="C192" s="22" t="inlineStr">
        <is>
          <t>2025</t>
        </is>
      </c>
      <c r="D192" s="22" t="inlineStr">
        <is>
          <t>2025-02</t>
        </is>
      </c>
      <c r="E192" s="22" t="inlineStr">
        <is>
          <t>Станіславчук Олександр</t>
        </is>
      </c>
      <c r="F192" s="22" t="inlineStr">
        <is>
          <t>Перепідв'язати задачі до вірного елемента замовлення на продаж</t>
        </is>
      </c>
      <c r="G192" s="22" t="inlineStr">
        <is>
          <t>Фіналізація побудови скрипта, блокування створення завдань під час створення КП скрипом.</t>
        </is>
      </c>
      <c r="H192" s="23" t="n">
        <v>3</v>
      </c>
      <c r="I192" s="23" t="n">
        <v>6</v>
      </c>
      <c r="J192" s="23">
        <f>I192-H192</f>
        <v/>
      </c>
      <c r="K192" s="22" t="inlineStr">
        <is>
          <t>частково виставлено</t>
        </is>
      </c>
      <c r="L192" s="24">
        <f>INDEX(Ставки!$C$2:$C$44,MATCH(D192,Ставки!$A$2:$A$44,0))</f>
        <v/>
      </c>
      <c r="M192" s="24">
        <f>J192*L192</f>
        <v/>
      </c>
      <c r="N192" s="22" t="inlineStr"/>
    </row>
    <row r="193">
      <c r="A193" s="22" t="n">
        <v>38107</v>
      </c>
      <c r="B193" s="22" t="inlineStr">
        <is>
          <t>2025-02-10</t>
        </is>
      </c>
      <c r="C193" s="22" t="inlineStr">
        <is>
          <t>2025</t>
        </is>
      </c>
      <c r="D193" s="22" t="inlineStr">
        <is>
          <t>2025-02</t>
        </is>
      </c>
      <c r="E193" s="22" t="inlineStr">
        <is>
          <t>Волохов Максим</t>
        </is>
      </c>
      <c r="F193" s="22" t="inlineStr">
        <is>
          <t>Перепідв'язати задачі до вірного елемента замовлення на продаж</t>
        </is>
      </c>
      <c r="G193" s="22" t="inlineStr">
        <is>
          <t>Листування з Марією с приводу відкритих питань  по непідв'язаним клієнтам в проекті</t>
        </is>
      </c>
      <c r="H193" s="23" t="n">
        <v>0.25</v>
      </c>
      <c r="I193" s="23" t="n">
        <v>0.3333</v>
      </c>
      <c r="J193" s="23">
        <f>I193-H193</f>
        <v/>
      </c>
      <c r="K193" s="22" t="inlineStr">
        <is>
          <t>частково виставлено</t>
        </is>
      </c>
      <c r="L193" s="24">
        <f>INDEX(Ставки!$C$2:$C$44,MATCH(D193,Ставки!$A$2:$A$44,0))</f>
        <v/>
      </c>
      <c r="M193" s="24">
        <f>J193*L193</f>
        <v/>
      </c>
      <c r="N193" s="22" t="inlineStr"/>
    </row>
    <row r="194">
      <c r="A194" s="22" t="n">
        <v>38211</v>
      </c>
      <c r="B194" s="22" t="inlineStr">
        <is>
          <t>2025-02-12</t>
        </is>
      </c>
      <c r="C194" s="22" t="inlineStr">
        <is>
          <t>2025</t>
        </is>
      </c>
      <c r="D194" s="22" t="inlineStr">
        <is>
          <t>2025-02</t>
        </is>
      </c>
      <c r="E194" s="22" t="inlineStr">
        <is>
          <t>Станіславчук Олександр</t>
        </is>
      </c>
      <c r="F194" s="22" t="inlineStr">
        <is>
          <t>Перепідв'язка Аналітичного рахунку в КП</t>
        </is>
      </c>
      <c r="G194" s="22" t="inlineStr">
        <is>
          <t>Створення скрипту для визначення аналітичного рахунку в КП</t>
        </is>
      </c>
      <c r="H194" s="23" t="n">
        <v>1</v>
      </c>
      <c r="I194" s="23" t="n">
        <v>2</v>
      </c>
      <c r="J194" s="23">
        <f>I194-H194</f>
        <v/>
      </c>
      <c r="K194" s="22" t="inlineStr">
        <is>
          <t>частково виставлено</t>
        </is>
      </c>
      <c r="L194" s="24">
        <f>INDEX(Ставки!$C$2:$C$44,MATCH(D194,Ставки!$A$2:$A$44,0))</f>
        <v/>
      </c>
      <c r="M194" s="24">
        <f>J194*L194</f>
        <v/>
      </c>
      <c r="N194" s="22" t="inlineStr"/>
    </row>
    <row r="195">
      <c r="A195" s="22" t="n">
        <v>38259</v>
      </c>
      <c r="B195" s="22" t="inlineStr">
        <is>
          <t>2025-02-12</t>
        </is>
      </c>
      <c r="C195" s="22" t="inlineStr">
        <is>
          <t>2025</t>
        </is>
      </c>
      <c r="D195" s="22" t="inlineStr">
        <is>
          <t>2025-02</t>
        </is>
      </c>
      <c r="E195" s="22" t="inlineStr">
        <is>
          <t>Волохов Максим</t>
        </is>
      </c>
      <c r="F195" s="22" t="inlineStr">
        <is>
          <t>Перепідв'язка Аналітичного рахунку в КП</t>
        </is>
      </c>
      <c r="G195" s="22" t="inlineStr">
        <is>
          <t>Зустріч обговорення питань с приводу аналітичних рахунків</t>
        </is>
      </c>
      <c r="H195" s="23" t="n">
        <v>0.25</v>
      </c>
      <c r="I195" s="23" t="n">
        <v>0.3833</v>
      </c>
      <c r="J195" s="23">
        <f>I195-H195</f>
        <v/>
      </c>
      <c r="K195" s="22" t="inlineStr">
        <is>
          <t>частково виставлено</t>
        </is>
      </c>
      <c r="L195" s="24">
        <f>INDEX(Ставки!$C$2:$C$44,MATCH(D195,Ставки!$A$2:$A$44,0))</f>
        <v/>
      </c>
      <c r="M195" s="24">
        <f>J195*L195</f>
        <v/>
      </c>
      <c r="N195" s="22" t="inlineStr"/>
    </row>
    <row r="196">
      <c r="A196" s="22" t="n">
        <v>38581</v>
      </c>
      <c r="B196" s="22" t="inlineStr">
        <is>
          <t>2025-02-19</t>
        </is>
      </c>
      <c r="C196" s="22" t="inlineStr">
        <is>
          <t>2025</t>
        </is>
      </c>
      <c r="D196" s="22" t="inlineStr">
        <is>
          <t>2025-02</t>
        </is>
      </c>
      <c r="E196" s="22" t="inlineStr">
        <is>
          <t>Адаменко Олесь</t>
        </is>
      </c>
      <c r="F196" s="22" t="inlineStr">
        <is>
          <t>Перевірити проблему зі зміною стадії проекту</t>
        </is>
      </c>
      <c r="G196" s="22" t="inlineStr">
        <is>
          <t>Проаналізовано проблему. Виправлено права доступу Ольги. Виправлено усі групи користувачів "Адміністратори"</t>
        </is>
      </c>
      <c r="H196" s="23" t="n">
        <v>0</v>
      </c>
      <c r="I196" s="23" t="n">
        <v>0.75</v>
      </c>
      <c r="J196" s="23">
        <f>I196-H196</f>
        <v/>
      </c>
      <c r="K196" s="22" t="inlineStr">
        <is>
          <t>безкоштовно (виставлено 0)</t>
        </is>
      </c>
      <c r="L196" s="24">
        <f>INDEX(Ставки!$C$2:$C$44,MATCH(D196,Ставки!$A$2:$A$44,0))</f>
        <v/>
      </c>
      <c r="M196" s="24">
        <f>J196*L196</f>
        <v/>
      </c>
      <c r="N196" s="22" t="inlineStr"/>
    </row>
    <row r="197">
      <c r="A197" s="22" t="n">
        <v>38582</v>
      </c>
      <c r="B197" s="22" t="inlineStr">
        <is>
          <t>2025-02-19</t>
        </is>
      </c>
      <c r="C197" s="22" t="inlineStr">
        <is>
          <t>2025</t>
        </is>
      </c>
      <c r="D197" s="22" t="inlineStr">
        <is>
          <t>2025-02</t>
        </is>
      </c>
      <c r="E197" s="22" t="inlineStr">
        <is>
          <t>Адаменко Олесь</t>
        </is>
      </c>
      <c r="F197" s="22" t="inlineStr">
        <is>
          <t>Прибрати дублювання Контаків</t>
        </is>
      </c>
      <c r="G197" s="22" t="inlineStr">
        <is>
          <t>Описано вимоги та план дій. Підготовлено до передачі в реалізацію</t>
        </is>
      </c>
      <c r="H197" s="23" t="n">
        <v>0</v>
      </c>
      <c r="I197" s="23" t="n">
        <v>0.25</v>
      </c>
      <c r="J197" s="23">
        <f>I197-H197</f>
        <v/>
      </c>
      <c r="K197" s="22" t="inlineStr">
        <is>
          <t>безкоштовно (виставлено 0)</t>
        </is>
      </c>
      <c r="L197" s="24">
        <f>INDEX(Ставки!$C$2:$C$44,MATCH(D197,Ставки!$A$2:$A$44,0))</f>
        <v/>
      </c>
      <c r="M197" s="24">
        <f>J197*L197</f>
        <v/>
      </c>
      <c r="N197" s="22" t="inlineStr"/>
    </row>
    <row r="198">
      <c r="A198" s="22" t="n">
        <v>38592</v>
      </c>
      <c r="B198" s="22" t="inlineStr">
        <is>
          <t>2025-02-19</t>
        </is>
      </c>
      <c r="C198" s="22" t="inlineStr">
        <is>
          <t>2025</t>
        </is>
      </c>
      <c r="D198" s="22" t="inlineStr">
        <is>
          <t>2025-02</t>
        </is>
      </c>
      <c r="E198" s="22" t="inlineStr">
        <is>
          <t>Адаменко Олесь</t>
        </is>
      </c>
      <c r="F198" s="22" t="inlineStr">
        <is>
          <t>Прибрати дублювання Контаків</t>
        </is>
      </c>
      <c r="G198" s="22" t="inlineStr">
        <is>
          <t>Зустчріч: обговорено та продемонстровано необхідні та можливі дії по контактах</t>
        </is>
      </c>
      <c r="H198" s="23" t="n">
        <v>0</v>
      </c>
      <c r="I198" s="23" t="n">
        <v>0.75</v>
      </c>
      <c r="J198" s="23">
        <f>I198-H198</f>
        <v/>
      </c>
      <c r="K198" s="22" t="inlineStr">
        <is>
          <t>безкоштовно (виставлено 0)</t>
        </is>
      </c>
      <c r="L198" s="24">
        <f>INDEX(Ставки!$C$2:$C$44,MATCH(D198,Ставки!$A$2:$A$44,0))</f>
        <v/>
      </c>
      <c r="M198" s="24">
        <f>J198*L198</f>
        <v/>
      </c>
      <c r="N198" s="22" t="inlineStr"/>
    </row>
    <row r="199">
      <c r="A199" s="22" t="n">
        <v>38700</v>
      </c>
      <c r="B199" s="22" t="inlineStr">
        <is>
          <t>2025-02-20</t>
        </is>
      </c>
      <c r="C199" s="22" t="inlineStr">
        <is>
          <t>2025</t>
        </is>
      </c>
      <c r="D199" s="22" t="inlineStr">
        <is>
          <t>2025-02</t>
        </is>
      </c>
      <c r="E199" s="22" t="inlineStr">
        <is>
          <t>Волохов Максим</t>
        </is>
      </c>
      <c r="F199" s="22" t="inlineStr">
        <is>
          <t>Процес створення контакту та обмеження користувачів</t>
        </is>
      </c>
      <c r="G199" s="22" t="inlineStr">
        <is>
          <t>Проаналізовано можливість обмежити права доступу для створення контакту базовим функціоналом</t>
        </is>
      </c>
      <c r="H199" s="23" t="n">
        <v>1</v>
      </c>
      <c r="I199" s="23" t="n">
        <v>1.0167</v>
      </c>
      <c r="J199" s="23">
        <f>I199-H199</f>
        <v/>
      </c>
      <c r="K199" s="22" t="inlineStr">
        <is>
          <t>частково виставлено</t>
        </is>
      </c>
      <c r="L199" s="24">
        <f>INDEX(Ставки!$C$2:$C$44,MATCH(D199,Ставки!$A$2:$A$44,0))</f>
        <v/>
      </c>
      <c r="M199" s="24">
        <f>J199*L199</f>
        <v/>
      </c>
      <c r="N199" s="22" t="inlineStr"/>
    </row>
    <row r="200">
      <c r="A200" s="22" t="n">
        <v>38767</v>
      </c>
      <c r="B200" s="22" t="inlineStr">
        <is>
          <t>2025-02-21</t>
        </is>
      </c>
      <c r="C200" s="22" t="inlineStr">
        <is>
          <t>2025</t>
        </is>
      </c>
      <c r="D200" s="22" t="inlineStr">
        <is>
          <t>2025-02</t>
        </is>
      </c>
      <c r="E200" s="22" t="inlineStr">
        <is>
          <t>Волохов Максим</t>
        </is>
      </c>
      <c r="F200" s="22" t="inlineStr">
        <is>
          <t>Прибрати дублювання Контаків</t>
        </is>
      </c>
      <c r="G200" s="22" t="inlineStr">
        <is>
          <t>Проведено аналіз файлу з повторюваними Контрагентами та заархівовано дублікати</t>
        </is>
      </c>
      <c r="H200" s="23" t="n">
        <v>1.5</v>
      </c>
      <c r="I200" s="23" t="n">
        <v>1.6167</v>
      </c>
      <c r="J200" s="23">
        <f>I200-H200</f>
        <v/>
      </c>
      <c r="K200" s="22" t="inlineStr">
        <is>
          <t>частково виставлено</t>
        </is>
      </c>
      <c r="L200" s="24">
        <f>INDEX(Ставки!$C$2:$C$44,MATCH(D200,Ставки!$A$2:$A$44,0))</f>
        <v/>
      </c>
      <c r="M200" s="24">
        <f>J200*L200</f>
        <v/>
      </c>
      <c r="N200" s="22" t="inlineStr"/>
    </row>
    <row r="201">
      <c r="A201" s="22" t="n">
        <v>38768</v>
      </c>
      <c r="B201" s="22" t="inlineStr">
        <is>
          <t>2025-02-21</t>
        </is>
      </c>
      <c r="C201" s="22" t="inlineStr">
        <is>
          <t>2025</t>
        </is>
      </c>
      <c r="D201" s="22" t="inlineStr">
        <is>
          <t>2025-02</t>
        </is>
      </c>
      <c r="E201" s="22" t="inlineStr">
        <is>
          <t>Волохов Максим</t>
        </is>
      </c>
      <c r="F201" s="22" t="inlineStr">
        <is>
          <t>Процес створення контакту та обмеження користувачів</t>
        </is>
      </c>
      <c r="G201" s="22" t="inlineStr">
        <is>
          <t>Проведена зустріч з Архітектором по доопрацюванню прав доступу по можливості створення контактів</t>
        </is>
      </c>
      <c r="H201" s="23" t="n">
        <v>0.25</v>
      </c>
      <c r="I201" s="23" t="n">
        <v>0.3333</v>
      </c>
      <c r="J201" s="23">
        <f>I201-H201</f>
        <v/>
      </c>
      <c r="K201" s="22" t="inlineStr">
        <is>
          <t>частково виставлено</t>
        </is>
      </c>
      <c r="L201" s="24">
        <f>INDEX(Ставки!$C$2:$C$44,MATCH(D201,Ставки!$A$2:$A$44,0))</f>
        <v/>
      </c>
      <c r="M201" s="24">
        <f>J201*L201</f>
        <v/>
      </c>
      <c r="N201" s="22" t="inlineStr"/>
    </row>
    <row r="202">
      <c r="A202" s="22" t="n">
        <v>39640</v>
      </c>
      <c r="B202" s="22" t="inlineStr">
        <is>
          <t>2025-03-10</t>
        </is>
      </c>
      <c r="C202" s="22" t="inlineStr">
        <is>
          <t>2025</t>
        </is>
      </c>
      <c r="D202" s="22" t="inlineStr">
        <is>
          <t>2025-03</t>
        </is>
      </c>
      <c r="E202" s="22" t="inlineStr">
        <is>
          <t>Демиденко Владислав</t>
        </is>
      </c>
      <c r="F202" s="22" t="inlineStr">
        <is>
          <t>P&amp;L, структура і динамічні періоди</t>
        </is>
      </c>
      <c r="G202" s="22" t="inlineStr">
        <is>
          <t>Виконання задачi</t>
        </is>
      </c>
      <c r="H202" s="23" t="n">
        <v>2.25</v>
      </c>
      <c r="I202" s="23" t="n">
        <v>3.5</v>
      </c>
      <c r="J202" s="23">
        <f>I202-H202</f>
        <v/>
      </c>
      <c r="K202" s="22" t="inlineStr">
        <is>
          <t>частково виставлено</t>
        </is>
      </c>
      <c r="L202" s="24">
        <f>INDEX(Ставки!$C$2:$C$44,MATCH(D202,Ставки!$A$2:$A$44,0))</f>
        <v/>
      </c>
      <c r="M202" s="24">
        <f>J202*L202</f>
        <v/>
      </c>
      <c r="N202" s="22" t="inlineStr"/>
    </row>
    <row r="203">
      <c r="A203" s="22" t="n">
        <v>39664</v>
      </c>
      <c r="B203" s="22" t="inlineStr">
        <is>
          <t>2025-03-11</t>
        </is>
      </c>
      <c r="C203" s="22" t="inlineStr">
        <is>
          <t>2025</t>
        </is>
      </c>
      <c r="D203" s="22" t="inlineStr">
        <is>
          <t>2025-03</t>
        </is>
      </c>
      <c r="E203" s="22" t="inlineStr">
        <is>
          <t>Демиденко Владислав</t>
        </is>
      </c>
      <c r="F203" s="22" t="inlineStr">
        <is>
          <t>P&amp;L, структура і динамічні періоди</t>
        </is>
      </c>
      <c r="G203" s="22" t="inlineStr">
        <is>
          <t>Оновлення тестового серверу</t>
        </is>
      </c>
      <c r="H203" s="23" t="n">
        <v>0.5</v>
      </c>
      <c r="I203" s="23" t="n">
        <v>0.75</v>
      </c>
      <c r="J203" s="23">
        <f>I203-H203</f>
        <v/>
      </c>
      <c r="K203" s="22" t="inlineStr">
        <is>
          <t>частково виставлено</t>
        </is>
      </c>
      <c r="L203" s="24">
        <f>INDEX(Ставки!$C$2:$C$44,MATCH(D203,Ставки!$A$2:$A$44,0))</f>
        <v/>
      </c>
      <c r="M203" s="24">
        <f>J203*L203</f>
        <v/>
      </c>
      <c r="N203" s="22" t="inlineStr"/>
    </row>
    <row r="204">
      <c r="A204" s="22" t="n">
        <v>39700</v>
      </c>
      <c r="B204" s="22" t="inlineStr">
        <is>
          <t>2025-03-11</t>
        </is>
      </c>
      <c r="C204" s="22" t="inlineStr">
        <is>
          <t>2025</t>
        </is>
      </c>
      <c r="D204" s="22" t="inlineStr">
        <is>
          <t>2025-03</t>
        </is>
      </c>
      <c r="E204" s="22" t="inlineStr">
        <is>
          <t>Волохов Максим</t>
        </is>
      </c>
      <c r="F204" s="22" t="inlineStr">
        <is>
          <t>Відслідковування отримання листів про назначення на задачу</t>
        </is>
      </c>
      <c r="G204" s="22" t="inlineStr">
        <is>
          <t>Створенно повторюванну задачу на прод базі для відслідковування невірного відправлення повідомленнь</t>
        </is>
      </c>
      <c r="H204" s="23" t="n">
        <v>0</v>
      </c>
      <c r="I204" s="23" t="n">
        <v>0.25</v>
      </c>
      <c r="J204" s="23">
        <f>I204-H204</f>
        <v/>
      </c>
      <c r="K204" s="22" t="inlineStr">
        <is>
          <t>безкоштовно (виставлено 0)</t>
        </is>
      </c>
      <c r="L204" s="24">
        <f>INDEX(Ставки!$C$2:$C$44,MATCH(D204,Ставки!$A$2:$A$44,0))</f>
        <v/>
      </c>
      <c r="M204" s="24">
        <f>J204*L204</f>
        <v/>
      </c>
      <c r="N204" s="22" t="inlineStr"/>
    </row>
    <row r="205">
      <c r="A205" s="22" t="n">
        <v>39802</v>
      </c>
      <c r="B205" s="22" t="inlineStr">
        <is>
          <t>2025-03-12</t>
        </is>
      </c>
      <c r="C205" s="22" t="inlineStr">
        <is>
          <t>2025</t>
        </is>
      </c>
      <c r="D205" s="22" t="inlineStr">
        <is>
          <t>2025-03</t>
        </is>
      </c>
      <c r="E205" s="22" t="inlineStr">
        <is>
          <t>Волохов Максим</t>
        </is>
      </c>
      <c r="F205" s="22" t="inlineStr">
        <is>
          <t>Відслідковування отримання листів про назначення на задачу</t>
        </is>
      </c>
      <c r="G205" s="22" t="inlineStr">
        <is>
          <t>Заповнення опису задачі про назначення співробітника на повторювальну задачу.</t>
        </is>
      </c>
      <c r="H205" s="23" t="n">
        <v>0</v>
      </c>
      <c r="I205" s="23" t="n">
        <v>0.25</v>
      </c>
      <c r="J205" s="23">
        <f>I205-H205</f>
        <v/>
      </c>
      <c r="K205" s="22" t="inlineStr">
        <is>
          <t>безкоштовно (виставлено 0)</t>
        </is>
      </c>
      <c r="L205" s="24">
        <f>INDEX(Ставки!$C$2:$C$44,MATCH(D205,Ставки!$A$2:$A$44,0))</f>
        <v/>
      </c>
      <c r="M205" s="24">
        <f>J205*L205</f>
        <v/>
      </c>
      <c r="N205" s="22" t="inlineStr"/>
    </row>
    <row r="206">
      <c r="A206" s="22" t="n">
        <v>39846</v>
      </c>
      <c r="B206" s="22" t="inlineStr">
        <is>
          <t>2025-03-13</t>
        </is>
      </c>
      <c r="C206" s="22" t="inlineStr">
        <is>
          <t>2025</t>
        </is>
      </c>
      <c r="D206" s="22" t="inlineStr">
        <is>
          <t>2025-03</t>
        </is>
      </c>
      <c r="E206" s="22" t="inlineStr">
        <is>
          <t>Волохов Максим</t>
        </is>
      </c>
      <c r="F206" s="22" t="inlineStr">
        <is>
          <t>Аналіз: Можливість створити контакти в модулі CRM без дублювання.</t>
        </is>
      </c>
      <c r="G206" s="22" t="inlineStr">
        <is>
          <t>Аналіз питання: можливості створювати контакту без можливості дублювання.</t>
        </is>
      </c>
      <c r="H206" s="23" t="n">
        <v>0.25</v>
      </c>
      <c r="I206" s="23" t="n">
        <v>0.65</v>
      </c>
      <c r="J206" s="23">
        <f>I206-H206</f>
        <v/>
      </c>
      <c r="K206" s="22" t="inlineStr">
        <is>
          <t>частково виставлено</t>
        </is>
      </c>
      <c r="L206" s="24">
        <f>INDEX(Ставки!$C$2:$C$44,MATCH(D206,Ставки!$A$2:$A$44,0))</f>
        <v/>
      </c>
      <c r="M206" s="24">
        <f>J206*L206</f>
        <v/>
      </c>
      <c r="N206" s="22" t="inlineStr"/>
    </row>
    <row r="207">
      <c r="A207" s="22" t="n">
        <v>40052</v>
      </c>
      <c r="B207" s="22" t="inlineStr">
        <is>
          <t>2025-03-17</t>
        </is>
      </c>
      <c r="C207" s="22" t="inlineStr">
        <is>
          <t>2025</t>
        </is>
      </c>
      <c r="D207" s="22" t="inlineStr">
        <is>
          <t>2025-03</t>
        </is>
      </c>
      <c r="E207" s="22" t="inlineStr">
        <is>
          <t>Волохов Максим</t>
        </is>
      </c>
      <c r="F207" s="22" t="inlineStr">
        <is>
          <t>Аналіз: Можливість створити контакти в модулі CRM без дублювання.</t>
        </is>
      </c>
      <c r="G207" s="22" t="inlineStr">
        <is>
          <t>Відправленно пропозицію по доопрацюванню по створенню клієнтів в модулі CRM згідно з дослідженнями.</t>
        </is>
      </c>
      <c r="H207" s="23" t="n">
        <v>0.25</v>
      </c>
      <c r="I207" s="23" t="n">
        <v>0.4</v>
      </c>
      <c r="J207" s="23">
        <f>I207-H207</f>
        <v/>
      </c>
      <c r="K207" s="22" t="inlineStr">
        <is>
          <t>частково виставлено</t>
        </is>
      </c>
      <c r="L207" s="24">
        <f>INDEX(Ставки!$C$2:$C$44,MATCH(D207,Ставки!$A$2:$A$44,0))</f>
        <v/>
      </c>
      <c r="M207" s="24">
        <f>J207*L207</f>
        <v/>
      </c>
      <c r="N207" s="22" t="inlineStr"/>
    </row>
    <row r="208">
      <c r="A208" s="22" t="n">
        <v>40054</v>
      </c>
      <c r="B208" s="22" t="inlineStr">
        <is>
          <t>2025-03-17</t>
        </is>
      </c>
      <c r="C208" s="22" t="inlineStr">
        <is>
          <t>2025</t>
        </is>
      </c>
      <c r="D208" s="22" t="inlineStr">
        <is>
          <t>2025-03</t>
        </is>
      </c>
      <c r="E208" s="22" t="inlineStr">
        <is>
          <t>Волохов Максим</t>
        </is>
      </c>
      <c r="F208" s="22" t="inlineStr">
        <is>
          <t>Питання: Приходить сповіщення про задачу хоча з замовником вже не працюють.</t>
        </is>
      </c>
      <c r="G208" s="22" t="inlineStr">
        <is>
          <t>На прод базі було вимкненно повторювальні задачі в певному проекті по якому вже не ведуться роботи</t>
        </is>
      </c>
      <c r="H208" s="23" t="n">
        <v>0.25</v>
      </c>
      <c r="I208" s="23" t="n">
        <v>0.3333</v>
      </c>
      <c r="J208" s="23">
        <f>I208-H208</f>
        <v/>
      </c>
      <c r="K208" s="22" t="inlineStr">
        <is>
          <t>частково виставлено</t>
        </is>
      </c>
      <c r="L208" s="24">
        <f>INDEX(Ставки!$C$2:$C$44,MATCH(D208,Ставки!$A$2:$A$44,0))</f>
        <v/>
      </c>
      <c r="M208" s="24">
        <f>J208*L208</f>
        <v/>
      </c>
      <c r="N208" s="22" t="inlineStr"/>
    </row>
    <row r="209">
      <c r="A209" s="22" t="n">
        <v>40140</v>
      </c>
      <c r="B209" s="22" t="inlineStr">
        <is>
          <t>2025-03-18</t>
        </is>
      </c>
      <c r="C209" s="22" t="inlineStr">
        <is>
          <t>2025</t>
        </is>
      </c>
      <c r="D209" s="22" t="inlineStr">
        <is>
          <t>2025-03</t>
        </is>
      </c>
      <c r="E209" s="22" t="inlineStr">
        <is>
          <t>Волохов Максим</t>
        </is>
      </c>
      <c r="F209" s="22" t="inlineStr">
        <is>
          <t>Доопрацювання: Блокування можливості створення клієнтів</t>
        </is>
      </c>
      <c r="G209" s="22" t="inlineStr">
        <is>
          <t>Створена задача та додано опис для оцінки розробником.</t>
        </is>
      </c>
      <c r="H209" s="23" t="n">
        <v>0.25</v>
      </c>
      <c r="I209" s="23" t="n">
        <v>0.3</v>
      </c>
      <c r="J209" s="23">
        <f>I209-H209</f>
        <v/>
      </c>
      <c r="K209" s="22" t="inlineStr">
        <is>
          <t>частково виставлено</t>
        </is>
      </c>
      <c r="L209" s="24">
        <f>INDEX(Ставки!$C$2:$C$44,MATCH(D209,Ставки!$A$2:$A$44,0))</f>
        <v/>
      </c>
      <c r="M209" s="24">
        <f>J209*L209</f>
        <v/>
      </c>
      <c r="N209" s="22" t="inlineStr"/>
    </row>
    <row r="210">
      <c r="A210" s="22" t="n">
        <v>40172</v>
      </c>
      <c r="B210" s="22" t="inlineStr">
        <is>
          <t>2025-03-18</t>
        </is>
      </c>
      <c r="C210" s="22" t="inlineStr">
        <is>
          <t>2025</t>
        </is>
      </c>
      <c r="D210" s="22" t="inlineStr">
        <is>
          <t>2025-03</t>
        </is>
      </c>
      <c r="E210" s="22" t="inlineStr">
        <is>
          <t>Адаменко Олесь</t>
        </is>
      </c>
      <c r="F210" s="22" t="inlineStr">
        <is>
          <t>Менеджмент  проекту</t>
        </is>
      </c>
      <c r="G210" s="22" t="inlineStr">
        <is>
          <t>Зустріч по презентація ЗП: обговорено питання по проблемі з контактами та підписниками. Зроблено аналіз по підписникам, надані Марією</t>
        </is>
      </c>
      <c r="H210" s="23" t="n">
        <v>0.5</v>
      </c>
      <c r="I210" s="23" t="n">
        <v>1</v>
      </c>
      <c r="J210" s="23">
        <f>I210-H210</f>
        <v/>
      </c>
      <c r="K210" s="22" t="inlineStr">
        <is>
          <t>частково виставлено</t>
        </is>
      </c>
      <c r="L210" s="24">
        <f>INDEX(Ставки!$C$2:$C$44,MATCH(D210,Ставки!$A$2:$A$44,0))</f>
        <v/>
      </c>
      <c r="M210" s="24">
        <f>J210*L210</f>
        <v/>
      </c>
      <c r="N210" s="22" t="inlineStr"/>
    </row>
    <row r="211">
      <c r="A211" s="22" t="n">
        <v>41414</v>
      </c>
      <c r="B211" s="22" t="inlineStr">
        <is>
          <t>2025-04-08</t>
        </is>
      </c>
      <c r="C211" s="22" t="inlineStr">
        <is>
          <t>2025</t>
        </is>
      </c>
      <c r="D211" s="22" t="inlineStr">
        <is>
          <t>2025-04</t>
        </is>
      </c>
      <c r="E211" s="22" t="inlineStr">
        <is>
          <t>Лемешевський Ілля</t>
        </is>
      </c>
      <c r="F211" s="22" t="inlineStr">
        <is>
          <t>Зарплата, розподіл по проектам</t>
        </is>
      </c>
      <c r="G211" s="22" t="inlineStr">
        <is>
          <t>Додав поля для моделей Проект, Налаштування, Payslip</t>
        </is>
      </c>
      <c r="H211" s="23" t="n">
        <v>3.5</v>
      </c>
      <c r="I211" s="23" t="n">
        <v>6</v>
      </c>
      <c r="J211" s="23">
        <f>I211-H211</f>
        <v/>
      </c>
      <c r="K211" s="22" t="inlineStr">
        <is>
          <t>частково виставлено</t>
        </is>
      </c>
      <c r="L211" s="24">
        <f>INDEX(Ставки!$C$2:$C$44,MATCH(D211,Ставки!$A$2:$A$44,0))</f>
        <v/>
      </c>
      <c r="M211" s="24">
        <f>J211*L211</f>
        <v/>
      </c>
      <c r="N211" s="22" t="inlineStr"/>
    </row>
    <row r="212">
      <c r="A212" s="22" t="n">
        <v>41471</v>
      </c>
      <c r="B212" s="22" t="inlineStr">
        <is>
          <t>2025-04-09</t>
        </is>
      </c>
      <c r="C212" s="22" t="inlineStr">
        <is>
          <t>2025</t>
        </is>
      </c>
      <c r="D212" s="22" t="inlineStr">
        <is>
          <t>2025-04</t>
        </is>
      </c>
      <c r="E212" s="22" t="inlineStr">
        <is>
          <t>Лемешевський Ілля</t>
        </is>
      </c>
      <c r="F212" s="22" t="inlineStr">
        <is>
          <t>Зарплата, розподіл по проектам</t>
        </is>
      </c>
      <c r="G212" s="22" t="inlineStr">
        <is>
          <t>Розширив існуючий функціонал методу в моделі Payslip</t>
        </is>
      </c>
      <c r="H212" s="23" t="n">
        <v>7</v>
      </c>
      <c r="I212" s="23" t="n">
        <v>8</v>
      </c>
      <c r="J212" s="23">
        <f>I212-H212</f>
        <v/>
      </c>
      <c r="K212" s="22" t="inlineStr">
        <is>
          <t>частково виставлено</t>
        </is>
      </c>
      <c r="L212" s="24">
        <f>INDEX(Ставки!$C$2:$C$44,MATCH(D212,Ставки!$A$2:$A$44,0))</f>
        <v/>
      </c>
      <c r="M212" s="24">
        <f>J212*L212</f>
        <v/>
      </c>
      <c r="N212" s="22" t="inlineStr"/>
    </row>
    <row r="213">
      <c r="A213" s="22" t="n">
        <v>41514</v>
      </c>
      <c r="B213" s="22" t="inlineStr">
        <is>
          <t>2025-04-10</t>
        </is>
      </c>
      <c r="C213" s="22" t="inlineStr">
        <is>
          <t>2025</t>
        </is>
      </c>
      <c r="D213" s="22" t="inlineStr">
        <is>
          <t>2025-04</t>
        </is>
      </c>
      <c r="E213" s="22" t="inlineStr">
        <is>
          <t>Лемешевський Ілля</t>
        </is>
      </c>
      <c r="F213" s="22" t="inlineStr">
        <is>
          <t>Зарплата, розподіл по проектам</t>
        </is>
      </c>
      <c r="G213" s="22" t="inlineStr">
        <is>
          <t>Додав нову кнопку для моделі hr.payslip з необхідним функціоналом</t>
        </is>
      </c>
      <c r="H213" s="23" t="n">
        <v>3</v>
      </c>
      <c r="I213" s="23" t="n">
        <v>5</v>
      </c>
      <c r="J213" s="23">
        <f>I213-H213</f>
        <v/>
      </c>
      <c r="K213" s="22" t="inlineStr">
        <is>
          <t>частково виставлено</t>
        </is>
      </c>
      <c r="L213" s="24">
        <f>INDEX(Ставки!$C$2:$C$44,MATCH(D213,Ставки!$A$2:$A$44,0))</f>
        <v/>
      </c>
      <c r="M213" s="24">
        <f>J213*L213</f>
        <v/>
      </c>
      <c r="N213" s="22" t="inlineStr"/>
    </row>
    <row r="214">
      <c r="A214" s="22" t="n">
        <v>41729</v>
      </c>
      <c r="B214" s="22" t="inlineStr">
        <is>
          <t>2025-04-15</t>
        </is>
      </c>
      <c r="C214" s="22" t="inlineStr">
        <is>
          <t>2025</t>
        </is>
      </c>
      <c r="D214" s="22" t="inlineStr">
        <is>
          <t>2025-04</t>
        </is>
      </c>
      <c r="E214" s="22" t="inlineStr">
        <is>
          <t>Лемешевський Ілля</t>
        </is>
      </c>
      <c r="F214" s="22" t="inlineStr">
        <is>
          <t>Зарплата, розподіл по проектам</t>
        </is>
      </c>
      <c r="G214" s="22" t="inlineStr">
        <is>
          <t>Допрацювання</t>
        </is>
      </c>
      <c r="H214" s="23" t="n">
        <v>1</v>
      </c>
      <c r="I214" s="23" t="n">
        <v>8</v>
      </c>
      <c r="J214" s="23">
        <f>I214-H214</f>
        <v/>
      </c>
      <c r="K214" s="22" t="inlineStr">
        <is>
          <t>частково виставлено</t>
        </is>
      </c>
      <c r="L214" s="24">
        <f>INDEX(Ставки!$C$2:$C$44,MATCH(D214,Ставки!$A$2:$A$44,0))</f>
        <v/>
      </c>
      <c r="M214" s="24">
        <f>J214*L214</f>
        <v/>
      </c>
      <c r="N214" s="22" t="inlineStr"/>
    </row>
    <row r="215">
      <c r="A215" s="22" t="n">
        <v>41811</v>
      </c>
      <c r="B215" s="22" t="inlineStr">
        <is>
          <t>2025-04-16</t>
        </is>
      </c>
      <c r="C215" s="22" t="inlineStr">
        <is>
          <t>2025</t>
        </is>
      </c>
      <c r="D215" s="22" t="inlineStr">
        <is>
          <t>2025-04</t>
        </is>
      </c>
      <c r="E215" s="22" t="inlineStr">
        <is>
          <t>Волохов Максим</t>
        </is>
      </c>
      <c r="F215" s="22" t="inlineStr">
        <is>
          <t>Питання: Розподілення відпусток, вірне відображення відпусток для співробітників</t>
        </is>
      </c>
      <c r="G215" s="22" t="inlineStr">
        <is>
          <t>Аналіз питання: Чьому відображаються дні відустки з меншою кількістью. Відповідь спочатку створили розподіл на одну дату та затвердили, після чього змінили дату але без перепроведення.</t>
        </is>
      </c>
      <c r="H215" s="23" t="n">
        <v>0.25</v>
      </c>
      <c r="I215" s="23" t="n">
        <v>0.3333</v>
      </c>
      <c r="J215" s="23">
        <f>I215-H215</f>
        <v/>
      </c>
      <c r="K215" s="22" t="inlineStr">
        <is>
          <t>частково виставлено</t>
        </is>
      </c>
      <c r="L215" s="24">
        <f>INDEX(Ставки!$C$2:$C$44,MATCH(D215,Ставки!$A$2:$A$44,0))</f>
        <v/>
      </c>
      <c r="M215" s="24">
        <f>J215*L215</f>
        <v/>
      </c>
      <c r="N215" s="22" t="inlineStr"/>
    </row>
    <row r="216">
      <c r="A216" s="22" t="n">
        <v>41812</v>
      </c>
      <c r="B216" s="22" t="inlineStr">
        <is>
          <t>2025-04-16</t>
        </is>
      </c>
      <c r="C216" s="22" t="inlineStr">
        <is>
          <t>2025</t>
        </is>
      </c>
      <c r="D216" s="22" t="inlineStr">
        <is>
          <t>2025-04</t>
        </is>
      </c>
      <c r="E216" s="22" t="inlineStr">
        <is>
          <t>Волохов Максим</t>
        </is>
      </c>
      <c r="F216" s="22" t="inlineStr">
        <is>
          <t>Питання: Розподілення відпусток, вірне відображення відпусток для співробітників</t>
        </is>
      </c>
      <c r="G216" s="22" t="inlineStr">
        <is>
          <t>Виправлення розпоілення відпсток для співробітників, з вірним відображенням днів відпусток.</t>
        </is>
      </c>
      <c r="H216" s="23" t="n">
        <v>0.25</v>
      </c>
      <c r="I216" s="23" t="n">
        <v>0.2667</v>
      </c>
      <c r="J216" s="23">
        <f>I216-H216</f>
        <v/>
      </c>
      <c r="K216" s="22" t="inlineStr">
        <is>
          <t>частково виставлено</t>
        </is>
      </c>
      <c r="L216" s="24">
        <f>INDEX(Ставки!$C$2:$C$44,MATCH(D216,Ставки!$A$2:$A$44,0))</f>
        <v/>
      </c>
      <c r="M216" s="24">
        <f>J216*L216</f>
        <v/>
      </c>
      <c r="N216" s="22" t="inlineStr"/>
    </row>
    <row r="217">
      <c r="A217" s="22" t="n">
        <v>41869</v>
      </c>
      <c r="B217" s="22" t="inlineStr">
        <is>
          <t>2025-04-16</t>
        </is>
      </c>
      <c r="C217" s="22" t="inlineStr">
        <is>
          <t>2025</t>
        </is>
      </c>
      <c r="D217" s="22" t="inlineStr">
        <is>
          <t>2025-04</t>
        </is>
      </c>
      <c r="E217" s="22" t="inlineStr">
        <is>
          <t>Лемешевський Ілля</t>
        </is>
      </c>
      <c r="F217" s="22" t="inlineStr">
        <is>
          <t>Зарплата, розподіл по проектам</t>
        </is>
      </c>
      <c r="G217" s="22" t="inlineStr">
        <is>
          <t>Формування проводок(допрацював метод для кнопки confirm щоб інформація з detail додавалась до проводок)</t>
        </is>
      </c>
      <c r="H217" s="23" t="n">
        <v>0</v>
      </c>
      <c r="I217" s="23" t="n">
        <v>8</v>
      </c>
      <c r="J217" s="23">
        <f>I217-H217</f>
        <v/>
      </c>
      <c r="K217" s="22" t="inlineStr">
        <is>
          <t>безкоштовно (виставлено 0)</t>
        </is>
      </c>
      <c r="L217" s="24">
        <f>INDEX(Ставки!$C$2:$C$44,MATCH(D217,Ставки!$A$2:$A$44,0))</f>
        <v/>
      </c>
      <c r="M217" s="24">
        <f>J217*L217</f>
        <v/>
      </c>
      <c r="N217" s="22" t="inlineStr"/>
    </row>
    <row r="218">
      <c r="A218" s="22" t="n">
        <v>41872</v>
      </c>
      <c r="B218" s="22" t="inlineStr">
        <is>
          <t>2025-04-17</t>
        </is>
      </c>
      <c r="C218" s="22" t="inlineStr">
        <is>
          <t>2025</t>
        </is>
      </c>
      <c r="D218" s="22" t="inlineStr">
        <is>
          <t>2025-04</t>
        </is>
      </c>
      <c r="E218" s="22" t="inlineStr">
        <is>
          <t>Лемешевський Ілля</t>
        </is>
      </c>
      <c r="F218" s="22" t="inlineStr">
        <is>
          <t>Зарплата, розподіл по проектам</t>
        </is>
      </c>
      <c r="G218" s="22" t="inlineStr">
        <is>
          <t>Формування проводок(Розширив функціонал для поля проект в проводках)</t>
        </is>
      </c>
      <c r="H218" s="23" t="n">
        <v>0</v>
      </c>
      <c r="I218" s="23" t="n">
        <v>8</v>
      </c>
      <c r="J218" s="23">
        <f>I218-H218</f>
        <v/>
      </c>
      <c r="K218" s="22" t="inlineStr">
        <is>
          <t>безкоштовно (виставлено 0)</t>
        </is>
      </c>
      <c r="L218" s="24">
        <f>INDEX(Ставки!$C$2:$C$44,MATCH(D218,Ставки!$A$2:$A$44,0))</f>
        <v/>
      </c>
      <c r="M218" s="24">
        <f>J218*L218</f>
        <v/>
      </c>
      <c r="N218" s="22" t="inlineStr"/>
    </row>
    <row r="219">
      <c r="A219" s="22" t="n">
        <v>42001</v>
      </c>
      <c r="B219" s="22" t="inlineStr">
        <is>
          <t>2025-04-21</t>
        </is>
      </c>
      <c r="C219" s="22" t="inlineStr">
        <is>
          <t>2025</t>
        </is>
      </c>
      <c r="D219" s="22" t="inlineStr">
        <is>
          <t>2025-04</t>
        </is>
      </c>
      <c r="E219" s="22" t="inlineStr">
        <is>
          <t>Лемешевський Ілля</t>
        </is>
      </c>
      <c r="F219" s="22" t="inlineStr">
        <is>
          <t>Зарплата, розподіл по проектам</t>
        </is>
      </c>
      <c r="G219" s="22" t="inlineStr">
        <is>
          <t>Розширив функціонал дії Деталі</t>
        </is>
      </c>
      <c r="H219" s="23" t="n">
        <v>2.5</v>
      </c>
      <c r="I219" s="23" t="n">
        <v>8</v>
      </c>
      <c r="J219" s="23">
        <f>I219-H219</f>
        <v/>
      </c>
      <c r="K219" s="22" t="inlineStr">
        <is>
          <t>частково виставлено</t>
        </is>
      </c>
      <c r="L219" s="24">
        <f>INDEX(Ставки!$C$2:$C$44,MATCH(D219,Ставки!$A$2:$A$44,0))</f>
        <v/>
      </c>
      <c r="M219" s="24">
        <f>J219*L219</f>
        <v/>
      </c>
      <c r="N219" s="22" t="inlineStr"/>
    </row>
    <row r="220">
      <c r="A220" s="22" t="n">
        <v>43066</v>
      </c>
      <c r="B220" s="22" t="inlineStr">
        <is>
          <t>2025-04-25</t>
        </is>
      </c>
      <c r="C220" s="22" t="inlineStr">
        <is>
          <t>2025</t>
        </is>
      </c>
      <c r="D220" s="22" t="inlineStr">
        <is>
          <t>2025-04</t>
        </is>
      </c>
      <c r="E220" s="22" t="inlineStr">
        <is>
          <t>Лемешевський Ілля</t>
        </is>
      </c>
      <c r="F220" s="22" t="inlineStr">
        <is>
          <t>Зарплата, розподіл по проектам</t>
        </is>
      </c>
      <c r="G220" s="22" t="inlineStr">
        <is>
          <t>Пошук та тестування рішення з розрахунками зарплати</t>
        </is>
      </c>
      <c r="H220" s="23" t="n">
        <v>0</v>
      </c>
      <c r="I220" s="23" t="n">
        <v>5</v>
      </c>
      <c r="J220" s="23">
        <f>I220-H220</f>
        <v/>
      </c>
      <c r="K220" s="22" t="inlineStr">
        <is>
          <t>безкоштовно (виставлено 0)</t>
        </is>
      </c>
      <c r="L220" s="24">
        <f>INDEX(Ставки!$C$2:$C$44,MATCH(D220,Ставки!$A$2:$A$44,0))</f>
        <v/>
      </c>
      <c r="M220" s="24">
        <f>J220*L220</f>
        <v/>
      </c>
      <c r="N220" s="22" t="inlineStr"/>
    </row>
    <row r="221">
      <c r="A221" s="22" t="n">
        <v>43189</v>
      </c>
      <c r="B221" s="22" t="inlineStr">
        <is>
          <t>2025-04-29</t>
        </is>
      </c>
      <c r="C221" s="22" t="inlineStr">
        <is>
          <t>2025</t>
        </is>
      </c>
      <c r="D221" s="22" t="inlineStr">
        <is>
          <t>2025-04</t>
        </is>
      </c>
      <c r="E221" s="22" t="inlineStr">
        <is>
          <t>Волохов Максим</t>
        </is>
      </c>
      <c r="F221" s="22" t="inlineStr">
        <is>
          <t>Навчання: робота з повторювальними завданнями</t>
        </is>
      </c>
      <c r="G221" s="22" t="inlineStr">
        <is>
          <t>Записано відео навчання по роботі з повторювальними задачами, завантажено відео на диск, а також надано посилання на папку з відео навчанням.</t>
        </is>
      </c>
      <c r="H221" s="23" t="n">
        <v>0.75</v>
      </c>
      <c r="I221" s="23" t="n">
        <v>0.7833</v>
      </c>
      <c r="J221" s="23">
        <f>I221-H221</f>
        <v/>
      </c>
      <c r="K221" s="22" t="inlineStr">
        <is>
          <t>частково виставлено</t>
        </is>
      </c>
      <c r="L221" s="24">
        <f>INDEX(Ставки!$C$2:$C$44,MATCH(D221,Ставки!$A$2:$A$44,0))</f>
        <v/>
      </c>
      <c r="M221" s="24">
        <f>J221*L221</f>
        <v/>
      </c>
      <c r="N221" s="22" t="inlineStr"/>
    </row>
    <row r="222">
      <c r="A222" s="22" t="n">
        <v>43333</v>
      </c>
      <c r="B222" s="22" t="inlineStr">
        <is>
          <t>2025-05-01</t>
        </is>
      </c>
      <c r="C222" s="22" t="inlineStr">
        <is>
          <t>2025</t>
        </is>
      </c>
      <c r="D222" s="22" t="inlineStr">
        <is>
          <t>2025-05</t>
        </is>
      </c>
      <c r="E222" s="22" t="inlineStr">
        <is>
          <t>Адаменко Олесь</t>
        </is>
      </c>
      <c r="F222" s="22" t="inlineStr">
        <is>
          <t>Менеджмент  проекту</t>
        </is>
      </c>
      <c r="G222" s="22" t="inlineStr">
        <is>
          <t>Менеджмент проекту: оновлення плану проекту</t>
        </is>
      </c>
      <c r="H222" s="23" t="n">
        <v>0</v>
      </c>
      <c r="I222" s="23" t="n">
        <v>0.0667</v>
      </c>
      <c r="J222" s="23">
        <f>I222-H222</f>
        <v/>
      </c>
      <c r="K222" s="22" t="inlineStr">
        <is>
          <t>безкоштовно (виставлено 0)</t>
        </is>
      </c>
      <c r="L222" s="24">
        <f>INDEX(Ставки!$C$2:$C$44,MATCH(D222,Ставки!$A$2:$A$44,0))</f>
        <v/>
      </c>
      <c r="M222" s="24">
        <f>J222*L222</f>
        <v/>
      </c>
      <c r="N222" s="22" t="inlineStr"/>
    </row>
    <row r="223">
      <c r="A223" s="22" t="n">
        <v>43581</v>
      </c>
      <c r="B223" s="22" t="inlineStr">
        <is>
          <t>2025-05-06</t>
        </is>
      </c>
      <c r="C223" s="22" t="inlineStr">
        <is>
          <t>2025</t>
        </is>
      </c>
      <c r="D223" s="22" t="inlineStr">
        <is>
          <t>2025-05</t>
        </is>
      </c>
      <c r="E223" s="22" t="inlineStr">
        <is>
          <t>Волохов Максим</t>
        </is>
      </c>
      <c r="F223" s="22" t="inlineStr">
        <is>
          <t>Питання: надходить повідомлення про невірно доставлений лист</t>
        </is>
      </c>
      <c r="G223" s="22" t="inlineStr">
        <is>
          <t>Проведено аналіз питання по отриманню повідомлення про невірно доставленний лист при переході на наступний етап канбану завдання.</t>
        </is>
      </c>
      <c r="H223" s="23" t="n">
        <v>0.25</v>
      </c>
      <c r="I223" s="23" t="n">
        <v>0.3333</v>
      </c>
      <c r="J223" s="23">
        <f>I223-H223</f>
        <v/>
      </c>
      <c r="K223" s="22" t="inlineStr">
        <is>
          <t>частково виставлено</t>
        </is>
      </c>
      <c r="L223" s="24">
        <f>INDEX(Ставки!$C$2:$C$44,MATCH(D223,Ставки!$A$2:$A$44,0))</f>
        <v/>
      </c>
      <c r="M223" s="24">
        <f>J223*L223</f>
        <v/>
      </c>
      <c r="N223" s="22" t="inlineStr"/>
    </row>
    <row r="224">
      <c r="A224" s="22" t="n">
        <v>43699</v>
      </c>
      <c r="B224" s="22" t="inlineStr">
        <is>
          <t>2025-05-07</t>
        </is>
      </c>
      <c r="C224" s="22" t="inlineStr">
        <is>
          <t>2025</t>
        </is>
      </c>
      <c r="D224" s="22" t="inlineStr">
        <is>
          <t>2025-05</t>
        </is>
      </c>
      <c r="E224" s="22" t="inlineStr">
        <is>
          <t>Вітряк Віталій</t>
        </is>
      </c>
      <c r="F224" s="22" t="inlineStr">
        <is>
          <t>Cash Flow, структура і дінамічні періоди</t>
        </is>
      </c>
      <c r="G224" s="22" t="inlineStr">
        <is>
          <t>Ознайомлення з ТЗ, тест схожого функіоналу, створення нових записів(кодово) для: стилів в звіті, створення ліній(полів) для темплейту звіту, створення темлейту звіту, створення інстанса для звіту, пок</t>
        </is>
      </c>
      <c r="H224" s="23" t="n">
        <v>5</v>
      </c>
      <c r="I224" s="23" t="n">
        <v>6</v>
      </c>
      <c r="J224" s="23">
        <f>I224-H224</f>
        <v/>
      </c>
      <c r="K224" s="22" t="inlineStr">
        <is>
          <t>частково виставлено</t>
        </is>
      </c>
      <c r="L224" s="24">
        <f>INDEX(Ставки!$C$2:$C$44,MATCH(D224,Ставки!$A$2:$A$44,0))</f>
        <v/>
      </c>
      <c r="M224" s="24">
        <f>J224*L224</f>
        <v/>
      </c>
      <c r="N224" s="22" t="inlineStr"/>
    </row>
    <row r="225">
      <c r="A225" s="22" t="n">
        <v>44120</v>
      </c>
      <c r="B225" s="22" t="inlineStr">
        <is>
          <t>2025-05-15</t>
        </is>
      </c>
      <c r="C225" s="22" t="inlineStr">
        <is>
          <t>2025</t>
        </is>
      </c>
      <c r="D225" s="22" t="inlineStr">
        <is>
          <t>2025-05</t>
        </is>
      </c>
      <c r="E225" s="22" t="inlineStr">
        <is>
          <t>Станіславчук Олександр</t>
        </is>
      </c>
      <c r="F225" s="22" t="inlineStr">
        <is>
          <t>Заповнення аналітичних рахунків Статті ГК під час співставлення платежів</t>
        </is>
      </c>
      <c r="G225" s="22" t="inlineStr">
        <is>
          <t>Розробка модуля для зміни присвоєння аналітики в Account Bank Statement Line</t>
        </is>
      </c>
      <c r="H225" s="23" t="n">
        <v>5</v>
      </c>
      <c r="I225" s="23" t="n">
        <v>6</v>
      </c>
      <c r="J225" s="23">
        <f>I225-H225</f>
        <v/>
      </c>
      <c r="K225" s="22" t="inlineStr">
        <is>
          <t>частково виставлено</t>
        </is>
      </c>
      <c r="L225" s="24">
        <f>INDEX(Ставки!$C$2:$C$44,MATCH(D225,Ставки!$A$2:$A$44,0))</f>
        <v/>
      </c>
      <c r="M225" s="24">
        <f>J225*L225</f>
        <v/>
      </c>
      <c r="N225" s="22" t="inlineStr"/>
    </row>
    <row r="226">
      <c r="A226" s="22" t="n">
        <v>44504</v>
      </c>
      <c r="B226" s="22" t="inlineStr">
        <is>
          <t>2025-05-22</t>
        </is>
      </c>
      <c r="C226" s="22" t="inlineStr">
        <is>
          <t>2025</t>
        </is>
      </c>
      <c r="D226" s="22" t="inlineStr">
        <is>
          <t>2025-05</t>
        </is>
      </c>
      <c r="E226" s="22" t="inlineStr">
        <is>
          <t>Волохов Максим</t>
        </is>
      </c>
      <c r="F226" s="22" t="inlineStr">
        <is>
          <t>Навчання: Розподіл відпусток</t>
        </is>
      </c>
      <c r="G226" s="22" t="inlineStr">
        <is>
          <t>Підготовка до навчання по розподілу відпусток для співробітників компанії</t>
        </is>
      </c>
      <c r="H226" s="23" t="n">
        <v>0.25</v>
      </c>
      <c r="I226" s="23" t="n">
        <v>0.4167</v>
      </c>
      <c r="J226" s="23">
        <f>I226-H226</f>
        <v/>
      </c>
      <c r="K226" s="22" t="inlineStr">
        <is>
          <t>частково виставлено</t>
        </is>
      </c>
      <c r="L226" s="24">
        <f>INDEX(Ставки!$C$2:$C$44,MATCH(D226,Ставки!$A$2:$A$44,0))</f>
        <v/>
      </c>
      <c r="M226" s="24">
        <f>J226*L226</f>
        <v/>
      </c>
      <c r="N226" s="22" t="inlineStr"/>
    </row>
    <row r="227">
      <c r="A227" s="22" t="n">
        <v>45252</v>
      </c>
      <c r="B227" s="22" t="inlineStr">
        <is>
          <t>2025-06-02</t>
        </is>
      </c>
      <c r="C227" s="22" t="inlineStr">
        <is>
          <t>2025</t>
        </is>
      </c>
      <c r="D227" s="22" t="inlineStr">
        <is>
          <t>2025-06</t>
        </is>
      </c>
      <c r="E227" s="22" t="inlineStr">
        <is>
          <t>Адаменко Олесь</t>
        </is>
      </c>
      <c r="F227" s="22" t="inlineStr">
        <is>
          <t>Менеджмент  проекту</t>
        </is>
      </c>
      <c r="G227" s="22" t="inlineStr">
        <is>
          <t>Статусна по проекту. Успіхи проекту та плани</t>
        </is>
      </c>
      <c r="H227" s="23" t="n">
        <v>0</v>
      </c>
      <c r="I227" s="23" t="n">
        <v>1</v>
      </c>
      <c r="J227" s="23">
        <f>I227-H227</f>
        <v/>
      </c>
      <c r="K227" s="22" t="inlineStr">
        <is>
          <t>безкоштовно (виставлено 0)</t>
        </is>
      </c>
      <c r="L227" s="24">
        <f>INDEX(Ставки!$C$2:$C$44,MATCH(D227,Ставки!$A$2:$A$44,0))</f>
        <v/>
      </c>
      <c r="M227" s="24">
        <f>J227*L227</f>
        <v/>
      </c>
      <c r="N227" s="22" t="inlineStr"/>
    </row>
    <row r="228">
      <c r="A228" s="22" t="n">
        <v>45307</v>
      </c>
      <c r="B228" s="22" t="inlineStr">
        <is>
          <t>2025-06-04</t>
        </is>
      </c>
      <c r="C228" s="22" t="inlineStr">
        <is>
          <t>2025</t>
        </is>
      </c>
      <c r="D228" s="22" t="inlineStr">
        <is>
          <t>2025-06</t>
        </is>
      </c>
      <c r="E228" s="22" t="inlineStr">
        <is>
          <t>Адаменко Олесь</t>
        </is>
      </c>
      <c r="F228" s="22" t="inlineStr">
        <is>
          <t>Менеджмент  проекту</t>
        </is>
      </c>
      <c r="G228" s="22" t="inlineStr">
        <is>
          <t>Статусна: звіт  за травень та питання</t>
        </is>
      </c>
      <c r="H228" s="23" t="n">
        <v>0.25</v>
      </c>
      <c r="I228" s="23" t="n">
        <v>0.5</v>
      </c>
      <c r="J228" s="23">
        <f>I228-H228</f>
        <v/>
      </c>
      <c r="K228" s="22" t="inlineStr">
        <is>
          <t>частково виставлено</t>
        </is>
      </c>
      <c r="L228" s="24">
        <f>INDEX(Ставки!$C$2:$C$44,MATCH(D228,Ставки!$A$2:$A$44,0))</f>
        <v/>
      </c>
      <c r="M228" s="24">
        <f>J228*L228</f>
        <v/>
      </c>
      <c r="N228" s="22" t="inlineStr"/>
    </row>
    <row r="229">
      <c r="A229" s="22" t="n">
        <v>45315</v>
      </c>
      <c r="B229" s="22" t="inlineStr">
        <is>
          <t>2025-06-04</t>
        </is>
      </c>
      <c r="C229" s="22" t="inlineStr">
        <is>
          <t>2025</t>
        </is>
      </c>
      <c r="D229" s="22" t="inlineStr">
        <is>
          <t>2025-06</t>
        </is>
      </c>
      <c r="E229" s="22" t="inlineStr">
        <is>
          <t>Адаменко Олесь</t>
        </is>
      </c>
      <c r="F229" s="22" t="inlineStr">
        <is>
          <t>Лист з Посиланням напризначену задачу</t>
        </is>
      </c>
      <c r="G229" s="22" t="inlineStr">
        <is>
          <t>Формування вимог по задачі; планування ресурсів; опис ризиків тестування</t>
        </is>
      </c>
      <c r="H229" s="23" t="n">
        <v>0</v>
      </c>
      <c r="I229" s="23" t="n">
        <v>0.25</v>
      </c>
      <c r="J229" s="23">
        <f>I229-H229</f>
        <v/>
      </c>
      <c r="K229" s="22" t="inlineStr">
        <is>
          <t>безкоштовно (виставлено 0)</t>
        </is>
      </c>
      <c r="L229" s="24">
        <f>INDEX(Ставки!$C$2:$C$44,MATCH(D229,Ставки!$A$2:$A$44,0))</f>
        <v/>
      </c>
      <c r="M229" s="24">
        <f>J229*L229</f>
        <v/>
      </c>
      <c r="N229" s="22" t="inlineStr"/>
    </row>
    <row r="230">
      <c r="A230" s="22" t="n">
        <v>45317</v>
      </c>
      <c r="B230" s="22" t="inlineStr">
        <is>
          <t>2025-06-04</t>
        </is>
      </c>
      <c r="C230" s="22" t="inlineStr">
        <is>
          <t>2025</t>
        </is>
      </c>
      <c r="D230" s="22" t="inlineStr">
        <is>
          <t>2025-06</t>
        </is>
      </c>
      <c r="E230" s="22" t="inlineStr">
        <is>
          <t>Адаменко Олесь</t>
        </is>
      </c>
      <c r="F230" s="22" t="inlineStr">
        <is>
          <t>Не можуть змінювати табель з 00:00 до 3:00</t>
        </is>
      </c>
      <c r="G230" s="22" t="inlineStr">
        <is>
          <t>Описана проблема; сформовано вимоги до аналізу; заплановано ресурси</t>
        </is>
      </c>
      <c r="H230" s="23" t="n">
        <v>0</v>
      </c>
      <c r="I230" s="23" t="n">
        <v>0.25</v>
      </c>
      <c r="J230" s="23">
        <f>I230-H230</f>
        <v/>
      </c>
      <c r="K230" s="22" t="inlineStr">
        <is>
          <t>безкоштовно (виставлено 0)</t>
        </is>
      </c>
      <c r="L230" s="24">
        <f>INDEX(Ставки!$C$2:$C$44,MATCH(D230,Ставки!$A$2:$A$44,0))</f>
        <v/>
      </c>
      <c r="M230" s="24">
        <f>J230*L230</f>
        <v/>
      </c>
      <c r="N230" s="22" t="inlineStr"/>
    </row>
    <row r="231">
      <c r="A231" s="22" t="n">
        <v>45407</v>
      </c>
      <c r="B231" s="22" t="inlineStr">
        <is>
          <t>2025-06-05</t>
        </is>
      </c>
      <c r="C231" s="22" t="inlineStr">
        <is>
          <t>2025</t>
        </is>
      </c>
      <c r="D231" s="22" t="inlineStr">
        <is>
          <t>2025-06</t>
        </is>
      </c>
      <c r="E231" s="22" t="inlineStr">
        <is>
          <t>Адаменко Олесь</t>
        </is>
      </c>
      <c r="F231" s="22" t="inlineStr">
        <is>
          <t>Проблеми описані в спільному чаті в телеграмі</t>
        </is>
      </c>
      <c r="G231" s="22" t="inlineStr">
        <is>
          <t>Проблема з доступом до проекту Human resources. Аналіз проблеми з поштою. Проблема не пов'язана з роботою пошти</t>
        </is>
      </c>
      <c r="H231" s="23" t="n">
        <v>0</v>
      </c>
      <c r="I231" s="23" t="n">
        <v>0.45</v>
      </c>
      <c r="J231" s="23">
        <f>I231-H231</f>
        <v/>
      </c>
      <c r="K231" s="22" t="inlineStr">
        <is>
          <t>безкоштовно (виставлено 0)</t>
        </is>
      </c>
      <c r="L231" s="24">
        <f>INDEX(Ставки!$C$2:$C$44,MATCH(D231,Ставки!$A$2:$A$44,0))</f>
        <v/>
      </c>
      <c r="M231" s="24">
        <f>J231*L231</f>
        <v/>
      </c>
      <c r="N231" s="22" t="inlineStr"/>
    </row>
    <row r="232">
      <c r="A232" s="22" t="n">
        <v>45409</v>
      </c>
      <c r="B232" s="22" t="inlineStr">
        <is>
          <t>2025-06-05</t>
        </is>
      </c>
      <c r="C232" s="22" t="inlineStr">
        <is>
          <t>2025</t>
        </is>
      </c>
      <c r="D232" s="22" t="inlineStr">
        <is>
          <t>2025-06</t>
        </is>
      </c>
      <c r="E232" s="22" t="inlineStr">
        <is>
          <t>Адаменко Олесь</t>
        </is>
      </c>
      <c r="F232" s="22" t="inlineStr">
        <is>
          <t>Проблеми описані в спільному чаті в телеграмі</t>
        </is>
      </c>
      <c r="G232" s="22" t="inlineStr">
        <is>
          <t>Налаштування та тестування шаблонних листів для перенаправлення на пошту HR</t>
        </is>
      </c>
      <c r="H232" s="23" t="n">
        <v>0</v>
      </c>
      <c r="I232" s="23" t="n">
        <v>0.75</v>
      </c>
      <c r="J232" s="23">
        <f>I232-H232</f>
        <v/>
      </c>
      <c r="K232" s="22" t="inlineStr">
        <is>
          <t>безкоштовно (виставлено 0)</t>
        </is>
      </c>
      <c r="L232" s="24">
        <f>INDEX(Ставки!$C$2:$C$44,MATCH(D232,Ставки!$A$2:$A$44,0))</f>
        <v/>
      </c>
      <c r="M232" s="24">
        <f>J232*L232</f>
        <v/>
      </c>
      <c r="N232" s="22" t="inlineStr"/>
    </row>
    <row r="233">
      <c r="A233" s="22" t="n">
        <v>45462</v>
      </c>
      <c r="B233" s="22" t="inlineStr">
        <is>
          <t>2025-06-05</t>
        </is>
      </c>
      <c r="C233" s="22" t="inlineStr">
        <is>
          <t>2025</t>
        </is>
      </c>
      <c r="D233" s="22" t="inlineStr">
        <is>
          <t>2025-06</t>
        </is>
      </c>
      <c r="E233" s="22" t="inlineStr">
        <is>
          <t>Волохов Максим</t>
        </is>
      </c>
      <c r="F233" s="22" t="inlineStr">
        <is>
          <t>Лист з Посиланням напризначену задачу</t>
        </is>
      </c>
      <c r="G233" s="22" t="inlineStr">
        <is>
          <t>Аналіз питання зміни відображення листа при назначенні відповідального виконавця в задачі.</t>
        </is>
      </c>
      <c r="H233" s="23" t="n">
        <v>0</v>
      </c>
      <c r="I233" s="23" t="n">
        <v>0.3833</v>
      </c>
      <c r="J233" s="23">
        <f>I233-H233</f>
        <v/>
      </c>
      <c r="K233" s="22" t="inlineStr">
        <is>
          <t>безкоштовно (виставлено 0)</t>
        </is>
      </c>
      <c r="L233" s="24">
        <f>INDEX(Ставки!$C$2:$C$44,MATCH(D233,Ставки!$A$2:$A$44,0))</f>
        <v/>
      </c>
      <c r="M233" s="24">
        <f>J233*L233</f>
        <v/>
      </c>
      <c r="N233" s="22" t="inlineStr"/>
    </row>
    <row r="234">
      <c r="A234" s="22" t="n">
        <v>45463</v>
      </c>
      <c r="B234" s="22" t="inlineStr">
        <is>
          <t>2025-06-05</t>
        </is>
      </c>
      <c r="C234" s="22" t="inlineStr">
        <is>
          <t>2025</t>
        </is>
      </c>
      <c r="D234" s="22" t="inlineStr">
        <is>
          <t>2025-06</t>
        </is>
      </c>
      <c r="E234" s="22" t="inlineStr">
        <is>
          <t>Волохов Максим</t>
        </is>
      </c>
      <c r="F234" s="22" t="inlineStr">
        <is>
          <t>Не можуть змінювати табель з 00:00 до 3:00</t>
        </is>
      </c>
      <c r="G234" s="22" t="inlineStr">
        <is>
          <t>Проаналізована причина неможливості вносити табель в проміжок часу з 00:00 до 03:00. Передано на аналіз розробнику.</t>
        </is>
      </c>
      <c r="H234" s="23" t="n">
        <v>0</v>
      </c>
      <c r="I234" s="23" t="n">
        <v>0.25</v>
      </c>
      <c r="J234" s="23">
        <f>I234-H234</f>
        <v/>
      </c>
      <c r="K234" s="22" t="inlineStr">
        <is>
          <t>безкоштовно (виставлено 0)</t>
        </is>
      </c>
      <c r="L234" s="24">
        <f>INDEX(Ставки!$C$2:$C$44,MATCH(D234,Ставки!$A$2:$A$44,0))</f>
        <v/>
      </c>
      <c r="M234" s="24">
        <f>J234*L234</f>
        <v/>
      </c>
      <c r="N234" s="22" t="inlineStr"/>
    </row>
    <row r="235">
      <c r="A235" s="22" t="n">
        <v>45784</v>
      </c>
      <c r="B235" s="22" t="inlineStr">
        <is>
          <t>2025-06-16</t>
        </is>
      </c>
      <c r="C235" s="22" t="inlineStr">
        <is>
          <t>2025</t>
        </is>
      </c>
      <c r="D235" s="22" t="inlineStr">
        <is>
          <t>2025-06</t>
        </is>
      </c>
      <c r="E235" s="22" t="inlineStr">
        <is>
          <t>Адаменко Олесь</t>
        </is>
      </c>
      <c r="F235" s="22" t="inlineStr">
        <is>
          <t>Проблема: не приходять листи від кандидатів</t>
        </is>
      </c>
      <c r="G235" s="22" t="inlineStr">
        <is>
          <t>Пошук проблеми з отриманням листів в Odoo: проблему не виявлено; зроблено запит на кількість таких випадків.</t>
        </is>
      </c>
      <c r="H235" s="23" t="n">
        <v>2</v>
      </c>
      <c r="I235" s="23" t="n">
        <v>2.25</v>
      </c>
      <c r="J235" s="23">
        <f>I235-H235</f>
        <v/>
      </c>
      <c r="K235" s="22" t="inlineStr">
        <is>
          <t>частково виставлено</t>
        </is>
      </c>
      <c r="L235" s="24">
        <f>INDEX(Ставки!$C$2:$C$44,MATCH(D235,Ставки!$A$2:$A$44,0))</f>
        <v/>
      </c>
      <c r="M235" s="24">
        <f>J235*L235</f>
        <v/>
      </c>
      <c r="N235" s="22" t="inlineStr"/>
    </row>
    <row r="236">
      <c r="A236" s="22" t="n">
        <v>45785</v>
      </c>
      <c r="B236" s="22" t="inlineStr">
        <is>
          <t>2025-06-16</t>
        </is>
      </c>
      <c r="C236" s="22" t="inlineStr">
        <is>
          <t>2025</t>
        </is>
      </c>
      <c r="D236" s="22" t="inlineStr">
        <is>
          <t>2025-06</t>
        </is>
      </c>
      <c r="E236" s="22" t="inlineStr">
        <is>
          <t>Адаменко Олесь</t>
        </is>
      </c>
      <c r="F236" s="22" t="inlineStr">
        <is>
          <t>Менеджмент  проекту</t>
        </is>
      </c>
      <c r="G236" s="22" t="inlineStr">
        <is>
          <t>Статусна</t>
        </is>
      </c>
      <c r="H236" s="23" t="n">
        <v>0</v>
      </c>
      <c r="I236" s="23" t="n">
        <v>0.75</v>
      </c>
      <c r="J236" s="23">
        <f>I236-H236</f>
        <v/>
      </c>
      <c r="K236" s="22" t="inlineStr">
        <is>
          <t>безкоштовно (виставлено 0)</t>
        </is>
      </c>
      <c r="L236" s="24">
        <f>INDEX(Ставки!$C$2:$C$44,MATCH(D236,Ставки!$A$2:$A$44,0))</f>
        <v/>
      </c>
      <c r="M236" s="24">
        <f>J236*L236</f>
        <v/>
      </c>
      <c r="N236" s="22" t="inlineStr"/>
    </row>
    <row r="237">
      <c r="A237" s="22" t="n">
        <v>45826</v>
      </c>
      <c r="B237" s="22" t="inlineStr">
        <is>
          <t>2025-06-16</t>
        </is>
      </c>
      <c r="C237" s="22" t="inlineStr">
        <is>
          <t>2025</t>
        </is>
      </c>
      <c r="D237" s="22" t="inlineStr">
        <is>
          <t>2025-06</t>
        </is>
      </c>
      <c r="E237" s="22" t="inlineStr">
        <is>
          <t>Лемешевський Ілля</t>
        </is>
      </c>
      <c r="F237" s="22" t="inlineStr">
        <is>
          <t>Лист з Посиланням напризначену задачу</t>
        </is>
      </c>
      <c r="G237" s="22" t="inlineStr">
        <is>
          <t>Редагував маркет модуль згідно вимог</t>
        </is>
      </c>
      <c r="H237" s="23" t="n">
        <v>0</v>
      </c>
      <c r="I237" s="23" t="n">
        <v>1</v>
      </c>
      <c r="J237" s="23">
        <f>I237-H237</f>
        <v/>
      </c>
      <c r="K237" s="22" t="inlineStr">
        <is>
          <t>безкоштовно (виставлено 0)</t>
        </is>
      </c>
      <c r="L237" s="24">
        <f>INDEX(Ставки!$C$2:$C$44,MATCH(D237,Ставки!$A$2:$A$44,0))</f>
        <v/>
      </c>
      <c r="M237" s="24">
        <f>J237*L237</f>
        <v/>
      </c>
      <c r="N237" s="22" t="inlineStr"/>
    </row>
    <row r="238">
      <c r="A238" s="22" t="n">
        <v>45854</v>
      </c>
      <c r="B238" s="22" t="inlineStr">
        <is>
          <t>2025-06-16</t>
        </is>
      </c>
      <c r="C238" s="22" t="inlineStr">
        <is>
          <t>2025</t>
        </is>
      </c>
      <c r="D238" s="22" t="inlineStr">
        <is>
          <t>2025-06</t>
        </is>
      </c>
      <c r="E238" s="22" t="inlineStr">
        <is>
          <t>Волохов Максим</t>
        </is>
      </c>
      <c r="F238" s="22" t="inlineStr">
        <is>
          <t>Лист з Посиланням напризначену задачу</t>
        </is>
      </c>
      <c r="G238" s="22" t="inlineStr">
        <is>
          <t>Проведено аналіз зі сторони коду по відправленню повідомлення про назначеного відповідального.</t>
        </is>
      </c>
      <c r="H238" s="23" t="n">
        <v>0</v>
      </c>
      <c r="I238" s="23" t="n">
        <v>0.1667</v>
      </c>
      <c r="J238" s="23">
        <f>I238-H238</f>
        <v/>
      </c>
      <c r="K238" s="22" t="inlineStr">
        <is>
          <t>безкоштовно (виставлено 0)</t>
        </is>
      </c>
      <c r="L238" s="24">
        <f>INDEX(Ставки!$C$2:$C$44,MATCH(D238,Ставки!$A$2:$A$44,0))</f>
        <v/>
      </c>
      <c r="M238" s="24">
        <f>J238*L238</f>
        <v/>
      </c>
      <c r="N238" s="22" t="inlineStr"/>
    </row>
    <row r="239">
      <c r="A239" s="22" t="n">
        <v>45883</v>
      </c>
      <c r="B239" s="22" t="inlineStr">
        <is>
          <t>2025-06-17</t>
        </is>
      </c>
      <c r="C239" s="22" t="inlineStr">
        <is>
          <t>2025</t>
        </is>
      </c>
      <c r="D239" s="22" t="inlineStr">
        <is>
          <t>2025-06</t>
        </is>
      </c>
      <c r="E239" s="22" t="inlineStr">
        <is>
          <t>Кутько Ігор</t>
        </is>
      </c>
      <c r="F239" s="22" t="inlineStr">
        <is>
          <t>Проблема: не приходять листи від кандидатів</t>
        </is>
      </c>
      <c r="G239" s="22" t="inlineStr">
        <is>
          <t>Аналіз проблеми та пошук корінних причин. Проведено розмову з замовником по необхідності перевірки параметрів домену електронної пошти</t>
        </is>
      </c>
      <c r="H239" s="23" t="n">
        <v>0</v>
      </c>
      <c r="I239" s="23" t="n">
        <v>0.9833</v>
      </c>
      <c r="J239" s="23">
        <f>I239-H239</f>
        <v/>
      </c>
      <c r="K239" s="22" t="inlineStr">
        <is>
          <t>безкоштовно (виставлено 0)</t>
        </is>
      </c>
      <c r="L239" s="24">
        <f>INDEX(Ставки!$C$2:$C$44,MATCH(D239,Ставки!$A$2:$A$44,0))</f>
        <v/>
      </c>
      <c r="M239" s="24">
        <f>J239*L239</f>
        <v/>
      </c>
      <c r="N239" s="22" t="inlineStr"/>
    </row>
    <row r="240">
      <c r="A240" s="22" t="n">
        <v>45885</v>
      </c>
      <c r="B240" s="22" t="inlineStr">
        <is>
          <t>2025-06-17</t>
        </is>
      </c>
      <c r="C240" s="22" t="inlineStr">
        <is>
          <t>2025</t>
        </is>
      </c>
      <c r="D240" s="22" t="inlineStr">
        <is>
          <t>2025-06</t>
        </is>
      </c>
      <c r="E240" s="22" t="inlineStr">
        <is>
          <t>Адаменко Олесь</t>
        </is>
      </c>
      <c r="F240" s="22" t="inlineStr">
        <is>
          <t>Проблема: не приходять листи від кандидатів</t>
        </is>
      </c>
      <c r="G240" s="22" t="inlineStr">
        <is>
          <t>Перевірка роботи пошти післ зроблених налаштувань</t>
        </is>
      </c>
      <c r="H240" s="23" t="n">
        <v>0</v>
      </c>
      <c r="I240" s="23" t="n">
        <v>1.4167</v>
      </c>
      <c r="J240" s="23">
        <f>I240-H240</f>
        <v/>
      </c>
      <c r="K240" s="22" t="inlineStr">
        <is>
          <t>безкоштовно (виставлено 0)</t>
        </is>
      </c>
      <c r="L240" s="24">
        <f>INDEX(Ставки!$C$2:$C$44,MATCH(D240,Ставки!$A$2:$A$44,0))</f>
        <v/>
      </c>
      <c r="M240" s="24">
        <f>J240*L240</f>
        <v/>
      </c>
      <c r="N240" s="22" t="inlineStr"/>
    </row>
    <row r="241">
      <c r="A241" s="22" t="n">
        <v>46286</v>
      </c>
      <c r="B241" s="22" t="inlineStr">
        <is>
          <t>2025-06-23</t>
        </is>
      </c>
      <c r="C241" s="22" t="inlineStr">
        <is>
          <t>2025</t>
        </is>
      </c>
      <c r="D241" s="22" t="inlineStr">
        <is>
          <t>2025-06</t>
        </is>
      </c>
      <c r="E241" s="22" t="inlineStr">
        <is>
          <t>Волохов Максим</t>
        </is>
      </c>
      <c r="F241" s="22" t="inlineStr">
        <is>
          <t>Лист з Посиланням напризначену задачу</t>
        </is>
      </c>
      <c r="G241" s="22" t="inlineStr">
        <is>
          <t>Проведено налаштування поштового серверу для відправки листів, а також налаштування користувачів, створенна повторювальна задача для перевірки доопрацювання</t>
        </is>
      </c>
      <c r="H241" s="23" t="n">
        <v>0</v>
      </c>
      <c r="I241" s="23" t="n">
        <v>0.5667</v>
      </c>
      <c r="J241" s="23">
        <f>I241-H241</f>
        <v/>
      </c>
      <c r="K241" s="22" t="inlineStr">
        <is>
          <t>безкоштовно (виставлено 0)</t>
        </is>
      </c>
      <c r="L241" s="24">
        <f>INDEX(Ставки!$C$2:$C$44,MATCH(D241,Ставки!$A$2:$A$44,0))</f>
        <v/>
      </c>
      <c r="M241" s="24">
        <f>J241*L241</f>
        <v/>
      </c>
      <c r="N241" s="22" t="inlineStr"/>
    </row>
    <row r="242">
      <c r="A242" s="22" t="n">
        <v>46372</v>
      </c>
      <c r="B242" s="22" t="inlineStr">
        <is>
          <t>2025-06-24</t>
        </is>
      </c>
      <c r="C242" s="22" t="inlineStr">
        <is>
          <t>2025</t>
        </is>
      </c>
      <c r="D242" s="22" t="inlineStr">
        <is>
          <t>2025-06</t>
        </is>
      </c>
      <c r="E242" s="22" t="inlineStr">
        <is>
          <t>Волохов Максим</t>
        </is>
      </c>
      <c r="F242" s="22" t="inlineStr">
        <is>
          <t>Лист з Посиланням напризначену задачу</t>
        </is>
      </c>
      <c r="G242" s="22" t="inlineStr">
        <is>
          <t>Проведенн тестування отримання ел.листа при назначенні на задачу повторювальну</t>
        </is>
      </c>
      <c r="H242" s="23" t="n">
        <v>0</v>
      </c>
      <c r="I242" s="23" t="n">
        <v>0.3833</v>
      </c>
      <c r="J242" s="23">
        <f>I242-H242</f>
        <v/>
      </c>
      <c r="K242" s="22" t="inlineStr">
        <is>
          <t>безкоштовно (виставлено 0)</t>
        </is>
      </c>
      <c r="L242" s="24">
        <f>INDEX(Ставки!$C$2:$C$44,MATCH(D242,Ставки!$A$2:$A$44,0))</f>
        <v/>
      </c>
      <c r="M242" s="24">
        <f>J242*L242</f>
        <v/>
      </c>
      <c r="N242" s="22" t="inlineStr"/>
    </row>
    <row r="243">
      <c r="A243" s="22" t="n">
        <v>46697</v>
      </c>
      <c r="B243" s="22" t="inlineStr">
        <is>
          <t>2025-06-27</t>
        </is>
      </c>
      <c r="C243" s="22" t="inlineStr">
        <is>
          <t>2025</t>
        </is>
      </c>
      <c r="D243" s="22" t="inlineStr">
        <is>
          <t>2025-06</t>
        </is>
      </c>
      <c r="E243" s="22" t="inlineStr">
        <is>
          <t>Волохов Максим</t>
        </is>
      </c>
      <c r="F243" s="22" t="inlineStr">
        <is>
          <t>Лист з Посиланням напризначену задачу</t>
        </is>
      </c>
      <c r="G243" s="22" t="inlineStr">
        <is>
          <t>Проведено тестування доопрацювання відправлення листа на призначену задачу відправляється лист з посиланням на Задачу</t>
        </is>
      </c>
      <c r="H243" s="23" t="n">
        <v>0</v>
      </c>
      <c r="I243" s="23" t="n">
        <v>0.3833</v>
      </c>
      <c r="J243" s="23">
        <f>I243-H243</f>
        <v/>
      </c>
      <c r="K243" s="22" t="inlineStr">
        <is>
          <t>безкоштовно (виставлено 0)</t>
        </is>
      </c>
      <c r="L243" s="24">
        <f>INDEX(Ставки!$C$2:$C$44,MATCH(D243,Ставки!$A$2:$A$44,0))</f>
        <v/>
      </c>
      <c r="M243" s="24">
        <f>J243*L243</f>
        <v/>
      </c>
      <c r="N243" s="22" t="inlineStr"/>
    </row>
    <row r="244">
      <c r="A244" s="22" t="n">
        <v>46852</v>
      </c>
      <c r="B244" s="22" t="inlineStr">
        <is>
          <t>2025-06-30</t>
        </is>
      </c>
      <c r="C244" s="22" t="inlineStr">
        <is>
          <t>2025</t>
        </is>
      </c>
      <c r="D244" s="22" t="inlineStr">
        <is>
          <t>2025-06</t>
        </is>
      </c>
      <c r="E244" s="22" t="inlineStr">
        <is>
          <t>Волохов Максим</t>
        </is>
      </c>
      <c r="F244" s="22" t="inlineStr">
        <is>
          <t>Лист з Посиланням напризначену задачу</t>
        </is>
      </c>
      <c r="G244" s="22" t="inlineStr">
        <is>
          <t>Написання умови відтестовування доопрацювання зі сторони замовника.</t>
        </is>
      </c>
      <c r="H244" s="23" t="n">
        <v>0</v>
      </c>
      <c r="I244" s="23" t="n">
        <v>0.1333</v>
      </c>
      <c r="J244" s="23">
        <f>I244-H244</f>
        <v/>
      </c>
      <c r="K244" s="22" t="inlineStr">
        <is>
          <t>безкоштовно (виставлено 0)</t>
        </is>
      </c>
      <c r="L244" s="24">
        <f>INDEX(Ставки!$C$2:$C$44,MATCH(D244,Ставки!$A$2:$A$44,0))</f>
        <v/>
      </c>
      <c r="M244" s="24">
        <f>J244*L244</f>
        <v/>
      </c>
      <c r="N244" s="22" t="inlineStr"/>
    </row>
    <row r="245">
      <c r="A245" s="22" t="n">
        <v>53718</v>
      </c>
      <c r="B245" s="22" t="inlineStr">
        <is>
          <t>2025-10-20</t>
        </is>
      </c>
      <c r="C245" s="22" t="inlineStr">
        <is>
          <t>2025</t>
        </is>
      </c>
      <c r="D245" s="22" t="inlineStr">
        <is>
          <t>2025-10</t>
        </is>
      </c>
      <c r="E245" s="22" t="inlineStr">
        <is>
          <t>Пусташинський Юрій</t>
        </is>
      </c>
      <c r="F245" s="22" t="inlineStr">
        <is>
          <t>Налаштування роботи модулів банківських виписок</t>
        </is>
      </c>
      <c r="G245" s="22" t="inlineStr">
        <is>
          <t>Аналіз помилки під час завантаження транзакцій</t>
        </is>
      </c>
      <c r="H245" s="23" t="n">
        <v>0</v>
      </c>
      <c r="I245" s="23" t="n">
        <v>2</v>
      </c>
      <c r="J245" s="23">
        <f>I245-H245</f>
        <v/>
      </c>
      <c r="K245" s="22" t="inlineStr">
        <is>
          <t>безкоштовно (виставлено 0)</t>
        </is>
      </c>
      <c r="L245" s="24">
        <f>INDEX(Ставки!$C$2:$C$44,MATCH(D245,Ставки!$A$2:$A$44,0))</f>
        <v/>
      </c>
      <c r="M245" s="24">
        <f>J245*L245</f>
        <v/>
      </c>
      <c r="N245" s="22" t="inlineStr"/>
    </row>
    <row r="246">
      <c r="A246" s="22" t="n">
        <v>53826</v>
      </c>
      <c r="B246" s="22" t="inlineStr">
        <is>
          <t>2025-10-21</t>
        </is>
      </c>
      <c r="C246" s="22" t="inlineStr">
        <is>
          <t>2025</t>
        </is>
      </c>
      <c r="D246" s="22" t="inlineStr">
        <is>
          <t>2025-10</t>
        </is>
      </c>
      <c r="E246" s="22" t="inlineStr">
        <is>
          <t>Пусташинський Юрій</t>
        </is>
      </c>
      <c r="F246" s="22" t="inlineStr">
        <is>
          <t>Налаштування роботи модулів банківських виписок</t>
        </is>
      </c>
      <c r="G246" s="22" t="inlineStr">
        <is>
          <t>Виправлення помилки під час завантаження транзакцій</t>
        </is>
      </c>
      <c r="H246" s="23" t="n">
        <v>0</v>
      </c>
      <c r="I246" s="23" t="n">
        <v>2</v>
      </c>
      <c r="J246" s="23">
        <f>I246-H246</f>
        <v/>
      </c>
      <c r="K246" s="22" t="inlineStr">
        <is>
          <t>безкоштовно (виставлено 0)</t>
        </is>
      </c>
      <c r="L246" s="24">
        <f>INDEX(Ставки!$C$2:$C$44,MATCH(D246,Ставки!$A$2:$A$44,0))</f>
        <v/>
      </c>
      <c r="M246" s="24">
        <f>J246*L246</f>
        <v/>
      </c>
      <c r="N246" s="22" t="inlineStr"/>
    </row>
    <row r="247">
      <c r="A247" s="22" t="n">
        <v>53849</v>
      </c>
      <c r="B247" s="22" t="inlineStr">
        <is>
          <t>2025-10-22</t>
        </is>
      </c>
      <c r="C247" s="22" t="inlineStr">
        <is>
          <t>2025</t>
        </is>
      </c>
      <c r="D247" s="22" t="inlineStr">
        <is>
          <t>2025-10</t>
        </is>
      </c>
      <c r="E247" s="22" t="inlineStr">
        <is>
          <t>Драгунов Сергій</t>
        </is>
      </c>
      <c r="F247" s="22" t="inlineStr">
        <is>
          <t>Налаштування роботи модулів банківських виписок</t>
        </is>
      </c>
      <c r="G247" s="22" t="inlineStr">
        <is>
          <t>Тест (AN)</t>
        </is>
      </c>
      <c r="H247" s="23" t="n">
        <v>0</v>
      </c>
      <c r="I247" s="23" t="n">
        <v>1</v>
      </c>
      <c r="J247" s="23">
        <f>I247-H247</f>
        <v/>
      </c>
      <c r="K247" s="22" t="inlineStr">
        <is>
          <t>безкоштовно (виставлено 0)</t>
        </is>
      </c>
      <c r="L247" s="24">
        <f>INDEX(Ставки!$C$2:$C$44,MATCH(D247,Ставки!$A$2:$A$44,0))</f>
        <v/>
      </c>
      <c r="M247" s="24">
        <f>J247*L247</f>
        <v/>
      </c>
      <c r="N247" s="22" t="inlineStr"/>
    </row>
    <row r="248">
      <c r="A248" s="22" t="n">
        <v>54926</v>
      </c>
      <c r="B248" s="22" t="inlineStr">
        <is>
          <t>2025-11-06</t>
        </is>
      </c>
      <c r="C248" s="22" t="inlineStr">
        <is>
          <t>2025</t>
        </is>
      </c>
      <c r="D248" s="22" t="inlineStr">
        <is>
          <t>2025-11</t>
        </is>
      </c>
      <c r="E248" s="22" t="inlineStr">
        <is>
          <t>Драгунов Сергій</t>
        </is>
      </c>
      <c r="F248" s="22" t="inlineStr">
        <is>
          <t>Налаштування роботи модулів банківських виписок</t>
        </is>
      </c>
      <c r="G248" s="22" t="inlineStr">
        <is>
          <t>Коригування рахунків Моно</t>
        </is>
      </c>
      <c r="H248" s="23" t="n">
        <v>0</v>
      </c>
      <c r="I248" s="23" t="n">
        <v>1.5</v>
      </c>
      <c r="J248" s="23">
        <f>I248-H248</f>
        <v/>
      </c>
      <c r="K248" s="22" t="inlineStr">
        <is>
          <t>безкоштовно (виставлено 0)</t>
        </is>
      </c>
      <c r="L248" s="24">
        <f>INDEX(Ставки!$C$2:$C$44,MATCH(D248,Ставки!$A$2:$A$44,0))</f>
        <v/>
      </c>
      <c r="M248" s="24">
        <f>J248*L248</f>
        <v/>
      </c>
      <c r="N248" s="22" t="inlineStr"/>
    </row>
    <row r="249">
      <c r="A249" s="22" t="n">
        <v>55038</v>
      </c>
      <c r="B249" s="22" t="inlineStr">
        <is>
          <t>2025-11-07</t>
        </is>
      </c>
      <c r="C249" s="22" t="inlineStr">
        <is>
          <t>2025</t>
        </is>
      </c>
      <c r="D249" s="22" t="inlineStr">
        <is>
          <t>2025-11</t>
        </is>
      </c>
      <c r="E249" s="22" t="inlineStr">
        <is>
          <t>Пусташинський Юрій</t>
        </is>
      </c>
      <c r="F249" s="22" t="inlineStr">
        <is>
          <t>Налаштування роботи модулів банківських виписок</t>
        </is>
      </c>
      <c r="G249" s="22" t="inlineStr">
        <is>
          <t>Аналіз помилки з синхронізацією журнала з монобанком</t>
        </is>
      </c>
      <c r="H249" s="23" t="n">
        <v>0</v>
      </c>
      <c r="I249" s="23" t="n">
        <v>1.5</v>
      </c>
      <c r="J249" s="23">
        <f>I249-H249</f>
        <v/>
      </c>
      <c r="K249" s="22" t="inlineStr">
        <is>
          <t>безкоштовно (виставлено 0)</t>
        </is>
      </c>
      <c r="L249" s="24">
        <f>INDEX(Ставки!$C$2:$C$44,MATCH(D249,Ставки!$A$2:$A$44,0))</f>
        <v/>
      </c>
      <c r="M249" s="24">
        <f>J249*L249</f>
        <v/>
      </c>
      <c r="N249" s="22" t="inlineStr"/>
    </row>
    <row r="250">
      <c r="A250" s="22" t="n">
        <v>57387</v>
      </c>
      <c r="B250" s="22" t="inlineStr">
        <is>
          <t>2025-12-11</t>
        </is>
      </c>
      <c r="C250" s="22" t="inlineStr">
        <is>
          <t>2025</t>
        </is>
      </c>
      <c r="D250" s="22" t="inlineStr">
        <is>
          <t>2025-12</t>
        </is>
      </c>
      <c r="E250" s="22" t="inlineStr">
        <is>
          <t>Демиденко Владислав</t>
        </is>
      </c>
      <c r="F250" s="22" t="inlineStr">
        <is>
          <t>Доопрацювання: Механізм створення нових проектів</t>
        </is>
      </c>
      <c r="G250" s="22" t="inlineStr">
        <is>
          <t>Додавання нових полів у модель та перегляд КП, оновлення створення проекту при підтвердженні КП щоб використати обрану користувачем логіку, додавання валідацій</t>
        </is>
      </c>
      <c r="H250" s="23" t="n">
        <v>3.5</v>
      </c>
      <c r="I250" s="23" t="n">
        <v>4.25</v>
      </c>
      <c r="J250" s="23">
        <f>I250-H250</f>
        <v/>
      </c>
      <c r="K250" s="22" t="inlineStr">
        <is>
          <t>частково виставлено</t>
        </is>
      </c>
      <c r="L250" s="24">
        <f>INDEX(Ставки!$C$2:$C$44,MATCH(D250,Ставки!$A$2:$A$44,0))</f>
        <v/>
      </c>
      <c r="M250" s="24">
        <f>J250*L250</f>
        <v/>
      </c>
      <c r="N250" s="22" t="inlineStr"/>
    </row>
    <row r="251">
      <c r="A251" s="22" t="n">
        <v>57461</v>
      </c>
      <c r="B251" s="22" t="inlineStr">
        <is>
          <t>2025-12-12</t>
        </is>
      </c>
      <c r="C251" s="22" t="inlineStr">
        <is>
          <t>2025</t>
        </is>
      </c>
      <c r="D251" s="22" t="inlineStr">
        <is>
          <t>2025-12</t>
        </is>
      </c>
      <c r="E251" s="22" t="inlineStr">
        <is>
          <t>Демиденко Владислав</t>
        </is>
      </c>
      <c r="F251" s="22" t="inlineStr">
        <is>
          <t>Доопрацювання: Механізм створення нових проектів</t>
        </is>
      </c>
      <c r="G251" s="22" t="inlineStr">
        <is>
          <t>Доробка логiки створення та пiдв'язки проекту з урахуванням вибору у КП, апдейт тестового серверу</t>
        </is>
      </c>
      <c r="H251" s="23" t="n">
        <v>1.25</v>
      </c>
      <c r="I251" s="23" t="n">
        <v>1.75</v>
      </c>
      <c r="J251" s="23">
        <f>I251-H251</f>
        <v/>
      </c>
      <c r="K251" s="22" t="inlineStr">
        <is>
          <t>частково виставлено</t>
        </is>
      </c>
      <c r="L251" s="24">
        <f>INDEX(Ставки!$C$2:$C$44,MATCH(D251,Ставки!$A$2:$A$44,0))</f>
        <v/>
      </c>
      <c r="M251" s="24">
        <f>J251*L251</f>
        <v/>
      </c>
      <c r="N251" s="22" t="inlineStr"/>
    </row>
    <row r="252">
      <c r="A252" s="22" t="n">
        <v>71001</v>
      </c>
      <c r="B252" s="22" t="inlineStr">
        <is>
          <t>2026-06-01</t>
        </is>
      </c>
      <c r="C252" s="22" t="inlineStr">
        <is>
          <t>2026</t>
        </is>
      </c>
      <c r="D252" s="22" t="inlineStr">
        <is>
          <t>2026-06</t>
        </is>
      </c>
      <c r="E252" s="22" t="inlineStr">
        <is>
          <t>Волохов Максим</t>
        </is>
      </c>
      <c r="F252" s="22" t="inlineStr">
        <is>
          <t>Питання: Відображення Елементу замовлення на продаж</t>
        </is>
      </c>
      <c r="G252" s="22" t="inlineStr">
        <is>
          <t>Проведено аналіз запиту та надано відповідь замовнику</t>
        </is>
      </c>
      <c r="H252" s="23" t="n">
        <v>0.75</v>
      </c>
      <c r="I252" s="23" t="n">
        <v>0.8</v>
      </c>
      <c r="J252" s="23">
        <f>I252-H252</f>
        <v/>
      </c>
      <c r="K252" s="22" t="inlineStr">
        <is>
          <t>частково виставлено</t>
        </is>
      </c>
      <c r="L252" s="24">
        <f>INDEX(Ставки!$C$2:$C$44,MATCH(D252,Ставки!$A$2:$A$44,0))</f>
        <v/>
      </c>
      <c r="M252" s="24">
        <f>J252*L252</f>
        <v/>
      </c>
      <c r="N252" s="22" t="inlineStr"/>
    </row>
    <row r="253">
      <c r="A253" s="22" t="n">
        <v>71192</v>
      </c>
      <c r="B253" s="22" t="inlineStr">
        <is>
          <t>2026-06-03</t>
        </is>
      </c>
      <c r="C253" s="22" t="inlineStr">
        <is>
          <t>2026</t>
        </is>
      </c>
      <c r="D253" s="22" t="inlineStr">
        <is>
          <t>2026-06</t>
        </is>
      </c>
      <c r="E253" s="22" t="inlineStr">
        <is>
          <t>Волохов Максим</t>
        </is>
      </c>
      <c r="F253" s="22" t="inlineStr">
        <is>
          <t>Питання: Загальні питання с приводу Елементу замовлення на продаж</t>
        </is>
      </c>
      <c r="G253" s="22" t="inlineStr">
        <is>
          <t>Проведено аналіз та надання відповіді замовнику на питання підв'язки Елементу замовлення на продаж у проєкті.</t>
        </is>
      </c>
      <c r="H253" s="23" t="n">
        <v>0.5</v>
      </c>
      <c r="I253" s="23" t="n">
        <v>0.5833</v>
      </c>
      <c r="J253" s="23">
        <f>I253-H253</f>
        <v/>
      </c>
      <c r="K253" s="22" t="inlineStr">
        <is>
          <t>частково виставлено</t>
        </is>
      </c>
      <c r="L253" s="24">
        <f>INDEX(Ставки!$C$2:$C$44,MATCH(D253,Ставки!$A$2:$A$44,0))</f>
        <v/>
      </c>
      <c r="M253" s="24">
        <f>J253*L253</f>
        <v/>
      </c>
      <c r="N253" s="22" t="inlineStr"/>
    </row>
    <row r="254">
      <c r="A254" s="22" t="n">
        <v>71596</v>
      </c>
      <c r="B254" s="22" t="inlineStr">
        <is>
          <t>2026-06-05</t>
        </is>
      </c>
      <c r="C254" s="22" t="inlineStr">
        <is>
          <t>2026</t>
        </is>
      </c>
      <c r="D254" s="22" t="inlineStr">
        <is>
          <t>2026-06</t>
        </is>
      </c>
      <c r="E254" s="22" t="inlineStr">
        <is>
          <t>Адаменко Олесь</t>
        </is>
      </c>
      <c r="F254" s="22" t="inlineStr">
        <is>
          <t>Менеджмент  проекту</t>
        </is>
      </c>
      <c r="G254" s="22" t="inlineStr">
        <is>
          <t>Зустріч з замовником: обговорено права доступів</t>
        </is>
      </c>
      <c r="H254" s="23" t="n">
        <v>0.75</v>
      </c>
      <c r="I254" s="23" t="n">
        <v>1</v>
      </c>
      <c r="J254" s="23">
        <f>I254-H254</f>
        <v/>
      </c>
      <c r="K254" s="22" t="inlineStr">
        <is>
          <t>частково виставлено</t>
        </is>
      </c>
      <c r="L254" s="24">
        <f>INDEX(Ставки!$C$2:$C$44,MATCH(D254,Ставки!$A$2:$A$44,0))</f>
        <v/>
      </c>
      <c r="M254" s="24">
        <f>J254*L254</f>
        <v/>
      </c>
      <c r="N254" s="22" t="inlineStr"/>
    </row>
    <row r="255">
      <c r="A255" s="22" t="n">
        <v>73219</v>
      </c>
      <c r="B255" s="22" t="inlineStr">
        <is>
          <t>2026-06-16</t>
        </is>
      </c>
      <c r="C255" s="22" t="inlineStr">
        <is>
          <t>2026</t>
        </is>
      </c>
      <c r="D255" s="22" t="inlineStr">
        <is>
          <t>2026-06</t>
        </is>
      </c>
      <c r="E255" s="22" t="inlineStr">
        <is>
          <t>Адаменко Олесь</t>
        </is>
      </c>
      <c r="F255" s="22" t="inlineStr">
        <is>
          <t xml:space="preserve">Питання: права доступу Неможливо редагувати проєкт </t>
        </is>
      </c>
      <c r="G255" s="22" t="inlineStr">
        <is>
          <t>Аналіз прав доступів</t>
        </is>
      </c>
      <c r="H255" s="23" t="n">
        <v>0</v>
      </c>
      <c r="I255" s="23" t="n">
        <v>1.3333</v>
      </c>
      <c r="J255" s="23">
        <f>I255-H255</f>
        <v/>
      </c>
      <c r="K255" s="22" t="inlineStr">
        <is>
          <t>безкоштовно (виставлено 0)</t>
        </is>
      </c>
      <c r="L255" s="24">
        <f>INDEX(Ставки!$C$2:$C$44,MATCH(D255,Ставки!$A$2:$A$44,0))</f>
        <v/>
      </c>
      <c r="M255" s="24">
        <f>J255*L255</f>
        <v/>
      </c>
      <c r="N255" s="22" t="inlineStr"/>
    </row>
    <row r="256">
      <c r="A256" s="22" t="n">
        <v>73220</v>
      </c>
      <c r="B256" s="22" t="inlineStr">
        <is>
          <t>2026-06-19</t>
        </is>
      </c>
      <c r="C256" s="22" t="inlineStr">
        <is>
          <t>2026</t>
        </is>
      </c>
      <c r="D256" s="22" t="inlineStr">
        <is>
          <t>2026-06</t>
        </is>
      </c>
      <c r="E256" s="22" t="inlineStr">
        <is>
          <t>Адаменко Олесь</t>
        </is>
      </c>
      <c r="F256" s="22" t="inlineStr">
        <is>
          <t xml:space="preserve">Питання: права доступу Неможливо редагувати проєкт </t>
        </is>
      </c>
      <c r="G256" s="22" t="inlineStr">
        <is>
          <t>Аналіз впливу базових прав на доопрацьовані права</t>
        </is>
      </c>
      <c r="H256" s="23" t="n">
        <v>0</v>
      </c>
      <c r="I256" s="23" t="n">
        <v>1.75</v>
      </c>
      <c r="J256" s="23">
        <f>I256-H256</f>
        <v/>
      </c>
      <c r="K256" s="22" t="inlineStr">
        <is>
          <t>безкоштовно (виставлено 0)</t>
        </is>
      </c>
      <c r="L256" s="24">
        <f>INDEX(Ставки!$C$2:$C$44,MATCH(D256,Ставки!$A$2:$A$44,0))</f>
        <v/>
      </c>
      <c r="M256" s="24">
        <f>J256*L256</f>
        <v/>
      </c>
      <c r="N256" s="22" t="inlineStr"/>
    </row>
    <row r="257">
      <c r="A257" s="22" t="n">
        <v>73209</v>
      </c>
      <c r="B257" s="22" t="inlineStr">
        <is>
          <t>2026-06-22</t>
        </is>
      </c>
      <c r="C257" s="22" t="inlineStr">
        <is>
          <t>2026</t>
        </is>
      </c>
      <c r="D257" s="22" t="inlineStr">
        <is>
          <t>2026-06</t>
        </is>
      </c>
      <c r="E257" s="22" t="inlineStr">
        <is>
          <t>Демиденко Владислав</t>
        </is>
      </c>
      <c r="F257" s="22" t="inlineStr">
        <is>
          <t>Доопрацювання: Кінцева дата</t>
        </is>
      </c>
      <c r="G257" s="22" t="inlineStr">
        <is>
          <t>Перепiдключення проекту, оновлення перегляду, додавання кольорiв без вiджета для поля Кiнцева дата, оновлення тестового серверу</t>
        </is>
      </c>
      <c r="H257" s="23" t="n">
        <v>1.25</v>
      </c>
      <c r="I257" s="23" t="n">
        <v>1.5</v>
      </c>
      <c r="J257" s="23">
        <f>I257-H257</f>
        <v/>
      </c>
      <c r="K257" s="22" t="inlineStr">
        <is>
          <t>частково виставлено</t>
        </is>
      </c>
      <c r="L257" s="24">
        <f>INDEX(Ставки!$C$2:$C$44,MATCH(D257,Ставки!$A$2:$A$44,0))</f>
        <v/>
      </c>
      <c r="M257" s="24">
        <f>J257*L257</f>
        <v/>
      </c>
      <c r="N257" s="22" t="inlineStr"/>
    </row>
    <row r="258">
      <c r="A258" s="22" t="n">
        <v>73210</v>
      </c>
      <c r="B258" s="22" t="inlineStr">
        <is>
          <t>2026-06-22</t>
        </is>
      </c>
      <c r="C258" s="22" t="inlineStr">
        <is>
          <t>2026</t>
        </is>
      </c>
      <c r="D258" s="22" t="inlineStr">
        <is>
          <t>2026-06</t>
        </is>
      </c>
      <c r="E258" s="22" t="inlineStr">
        <is>
          <t>Демиденко Владислав</t>
        </is>
      </c>
      <c r="F258" s="22" t="inlineStr">
        <is>
          <t>Перепідв'язати задачі до вірного елемента замовлення на продаж</t>
        </is>
      </c>
      <c r="G258" s="22" t="inlineStr">
        <is>
          <t>Розробка першого варiанту скрипта, оновлення перегляду налаштувань</t>
        </is>
      </c>
      <c r="H258" s="23" t="n">
        <v>0</v>
      </c>
      <c r="I258" s="23" t="n">
        <v>3</v>
      </c>
      <c r="J258" s="23">
        <f>I258-H258</f>
        <v/>
      </c>
      <c r="K258" s="22" t="inlineStr">
        <is>
          <t>безкоштовно (виставлено 0)</t>
        </is>
      </c>
      <c r="L258" s="24">
        <f>INDEX(Ставки!$C$2:$C$44,MATCH(D258,Ставки!$A$2:$A$44,0))</f>
        <v/>
      </c>
      <c r="M258" s="24">
        <f>J258*L258</f>
        <v/>
      </c>
      <c r="N258" s="22" t="inlineStr"/>
    </row>
    <row r="259">
      <c r="A259" s="22" t="n">
        <v>73218</v>
      </c>
      <c r="B259" s="22" t="inlineStr">
        <is>
          <t>2026-06-22</t>
        </is>
      </c>
      <c r="C259" s="22" t="inlineStr">
        <is>
          <t>2026</t>
        </is>
      </c>
      <c r="D259" s="22" t="inlineStr">
        <is>
          <t>2026-06</t>
        </is>
      </c>
      <c r="E259" s="22" t="inlineStr">
        <is>
          <t>Адаменко Олесь</t>
        </is>
      </c>
      <c r="F259" s="22" t="inlineStr">
        <is>
          <t xml:space="preserve">Питання: права доступу Неможливо редагувати проєкт </t>
        </is>
      </c>
      <c r="G259" s="22" t="inlineStr">
        <is>
          <t>Підготовка звіту по правам доступу</t>
        </is>
      </c>
      <c r="H259" s="23" t="n">
        <v>0</v>
      </c>
      <c r="I259" s="23" t="n">
        <v>2</v>
      </c>
      <c r="J259" s="23">
        <f>I259-H259</f>
        <v/>
      </c>
      <c r="K259" s="22" t="inlineStr">
        <is>
          <t>безкоштовно (виставлено 0)</t>
        </is>
      </c>
      <c r="L259" s="24">
        <f>INDEX(Ставки!$C$2:$C$44,MATCH(D259,Ставки!$A$2:$A$44,0))</f>
        <v/>
      </c>
      <c r="M259" s="24">
        <f>J259*L259</f>
        <v/>
      </c>
      <c r="N259" s="22" t="inlineStr"/>
    </row>
    <row r="260">
      <c r="A260" s="22" t="n">
        <v>73225</v>
      </c>
      <c r="B260" s="22" t="inlineStr">
        <is>
          <t>2026-06-22</t>
        </is>
      </c>
      <c r="C260" s="22" t="inlineStr">
        <is>
          <t>2026</t>
        </is>
      </c>
      <c r="D260" s="22" t="inlineStr">
        <is>
          <t>2026-06</t>
        </is>
      </c>
      <c r="E260" s="22" t="inlineStr">
        <is>
          <t>Адаменко Олесь</t>
        </is>
      </c>
      <c r="F260" s="22" t="inlineStr">
        <is>
          <t>Доопрацювання: автоматичне визначення елементу замовлення на продаж в задачі</t>
        </is>
      </c>
      <c r="G260" s="22" t="inlineStr">
        <is>
          <t>Розробка архітектури та опис детального технічного завдання</t>
        </is>
      </c>
      <c r="H260" s="23" t="n">
        <v>4.5</v>
      </c>
      <c r="I260" s="23" t="n">
        <v>4.6667</v>
      </c>
      <c r="J260" s="23">
        <f>I260-H260</f>
        <v/>
      </c>
      <c r="K260" s="22" t="inlineStr">
        <is>
          <t>частково виставлено</t>
        </is>
      </c>
      <c r="L260" s="24">
        <f>INDEX(Ставки!$C$2:$C$44,MATCH(D260,Ставки!$A$2:$A$44,0))</f>
        <v/>
      </c>
      <c r="M260" s="24">
        <f>J260*L260</f>
        <v/>
      </c>
      <c r="N260" s="22" t="inlineStr"/>
    </row>
    <row r="261">
      <c r="A261" s="22" t="n">
        <v>73221</v>
      </c>
      <c r="B261" s="22" t="inlineStr">
        <is>
          <t>2026-06-23</t>
        </is>
      </c>
      <c r="C261" s="22" t="inlineStr">
        <is>
          <t>2026</t>
        </is>
      </c>
      <c r="D261" s="22" t="inlineStr">
        <is>
          <t>2026-06</t>
        </is>
      </c>
      <c r="E261" s="22" t="inlineStr">
        <is>
          <t>Адаменко Олесь</t>
        </is>
      </c>
      <c r="F261" s="22" t="inlineStr">
        <is>
          <t>Доопрацювання: Кінцева дата</t>
        </is>
      </c>
      <c r="G261" s="22" t="inlineStr">
        <is>
          <t>Протестовано на тесті</t>
        </is>
      </c>
      <c r="H261" s="23" t="n">
        <v>0</v>
      </c>
      <c r="I261" s="23" t="n">
        <v>0.1333</v>
      </c>
      <c r="J261" s="23">
        <f>I261-H261</f>
        <v/>
      </c>
      <c r="K261" s="22" t="inlineStr">
        <is>
          <t>безкоштовно (виставлено 0)</t>
        </is>
      </c>
      <c r="L261" s="24">
        <f>INDEX(Ставки!$C$2:$C$44,MATCH(D261,Ставки!$A$2:$A$44,0))</f>
        <v/>
      </c>
      <c r="M261" s="24">
        <f>J261*L261</f>
        <v/>
      </c>
      <c r="N261" s="22" t="inlineStr"/>
    </row>
    <row r="262">
      <c r="A262" s="22" t="n">
        <v>73376</v>
      </c>
      <c r="B262" s="22" t="inlineStr">
        <is>
          <t>2026-06-24</t>
        </is>
      </c>
      <c r="C262" s="22" t="inlineStr">
        <is>
          <t>2026</t>
        </is>
      </c>
      <c r="D262" s="22" t="inlineStr">
        <is>
          <t>2026-06</t>
        </is>
      </c>
      <c r="E262" s="22" t="inlineStr">
        <is>
          <t>Адаменко Олесь</t>
        </is>
      </c>
      <c r="F262" s="22" t="inlineStr">
        <is>
          <t>Доопрацювання: автоматичне визначення елементу замовлення на продаж в задачі</t>
        </is>
      </c>
      <c r="G262" s="22" t="inlineStr">
        <is>
          <t>Фіналізовано ТР. Передано на оцінку</t>
        </is>
      </c>
      <c r="H262" s="23" t="n">
        <v>0.5</v>
      </c>
      <c r="I262" s="23" t="n">
        <v>0.5667</v>
      </c>
      <c r="J262" s="23">
        <f>I262-H262</f>
        <v/>
      </c>
      <c r="K262" s="22" t="inlineStr">
        <is>
          <t>частково виставлено</t>
        </is>
      </c>
      <c r="L262" s="24">
        <f>INDEX(Ставки!$C$2:$C$44,MATCH(D262,Ставки!$A$2:$A$44,0))</f>
        <v/>
      </c>
      <c r="M262" s="24">
        <f>J262*L262</f>
        <v/>
      </c>
      <c r="N262" s="22" t="inlineStr"/>
    </row>
    <row r="263">
      <c r="A263" s="22" t="n">
        <v>73549</v>
      </c>
      <c r="B263" s="22" t="inlineStr">
        <is>
          <t>2026-06-26</t>
        </is>
      </c>
      <c r="C263" s="22" t="inlineStr">
        <is>
          <t>2026</t>
        </is>
      </c>
      <c r="D263" s="22" t="inlineStr">
        <is>
          <t>2026-06</t>
        </is>
      </c>
      <c r="E263" s="22" t="inlineStr">
        <is>
          <t>Лемешевський Ілля</t>
        </is>
      </c>
      <c r="F263" s="22" t="inlineStr">
        <is>
          <t>Доопрацювання: автоматичне визначення елементу замовлення на продаж в задачі</t>
        </is>
      </c>
      <c r="G263" s="22" t="inlineStr">
        <is>
          <t>Оцінено технічне рішення</t>
        </is>
      </c>
      <c r="H263" s="23" t="n">
        <v>0.5</v>
      </c>
      <c r="I263" s="23" t="n">
        <v>0.55</v>
      </c>
      <c r="J263" s="23">
        <f>I263-H263</f>
        <v/>
      </c>
      <c r="K263" s="22" t="inlineStr">
        <is>
          <t>частково виставлено</t>
        </is>
      </c>
      <c r="L263" s="24">
        <f>INDEX(Ставки!$C$2:$C$44,MATCH(D263,Ставки!$A$2:$A$44,0))</f>
        <v/>
      </c>
      <c r="M263" s="24">
        <f>J263*L263</f>
        <v/>
      </c>
      <c r="N263" s="22" t="inlineStr"/>
    </row>
    <row r="264">
      <c r="A264" s="22" t="n">
        <v>78119</v>
      </c>
      <c r="B264" s="22" t="inlineStr">
        <is>
          <t>2026-08-07</t>
        </is>
      </c>
      <c r="C264" s="22" t="inlineStr">
        <is>
          <t>2026</t>
        </is>
      </c>
      <c r="D264" s="22" t="inlineStr">
        <is>
          <t>2026-08</t>
        </is>
      </c>
      <c r="E264" s="22" t="inlineStr">
        <is>
          <t>Іванюк Назарій</t>
        </is>
      </c>
      <c r="F264" s="22" t="inlineStr">
        <is>
          <t>Менеджмент  проекту</t>
        </is>
      </c>
      <c r="G264" s="22" t="inlineStr">
        <is>
          <t>Зустріч з замовником</t>
        </is>
      </c>
      <c r="H264" s="23" t="n">
        <v>1.25</v>
      </c>
      <c r="I264" s="23" t="n">
        <v>1.3333</v>
      </c>
      <c r="J264" s="23">
        <f>I264-H264</f>
        <v/>
      </c>
      <c r="K264" s="22" t="inlineStr">
        <is>
          <t>частково виставлено</t>
        </is>
      </c>
      <c r="L264" s="24">
        <f>INDEX(Ставки!$C$2:$C$44,MATCH(D264,Ставки!$A$2:$A$44,0))</f>
        <v/>
      </c>
      <c r="M264" s="24">
        <f>J264*L264</f>
        <v/>
      </c>
      <c r="N264" s="22" t="inlineStr"/>
    </row>
    <row r="265">
      <c r="A265" s="22" t="n">
        <v>79950</v>
      </c>
      <c r="B265" s="22" t="inlineStr">
        <is>
          <t>2026-08-07</t>
        </is>
      </c>
      <c r="C265" s="22" t="inlineStr">
        <is>
          <t>2026</t>
        </is>
      </c>
      <c r="D265" s="22" t="inlineStr">
        <is>
          <t>2026-08</t>
        </is>
      </c>
      <c r="E265" s="22" t="inlineStr">
        <is>
          <t>Адаменко Олесь</t>
        </is>
      </c>
      <c r="F265" s="22" t="inlineStr">
        <is>
          <t>Менеджмент  проекту</t>
        </is>
      </c>
      <c r="G265" s="22" t="inlineStr">
        <is>
          <t>Зустріч з замовником</t>
        </is>
      </c>
      <c r="H265" s="23" t="n">
        <v>0</v>
      </c>
      <c r="I265" s="23" t="n">
        <v>1.3333</v>
      </c>
      <c r="J265" s="23">
        <f>I265-H265</f>
        <v/>
      </c>
      <c r="K265" s="22" t="inlineStr">
        <is>
          <t>безкоштовно (виставлено 0)</t>
        </is>
      </c>
      <c r="L265" s="24">
        <f>INDEX(Ставки!$C$2:$C$44,MATCH(D265,Ставки!$A$2:$A$44,0))</f>
        <v/>
      </c>
      <c r="M265" s="24">
        <f>J265*L265</f>
        <v/>
      </c>
      <c r="N265" s="22" t="inlineStr"/>
    </row>
    <row r="266">
      <c r="A266" s="22" t="n">
        <v>78674</v>
      </c>
      <c r="B266" s="22" t="inlineStr">
        <is>
          <t>2026-08-12</t>
        </is>
      </c>
      <c r="C266" s="22" t="inlineStr">
        <is>
          <t>2026</t>
        </is>
      </c>
      <c r="D266" s="22" t="inlineStr">
        <is>
          <t>2026-08</t>
        </is>
      </c>
      <c r="E266" s="22" t="inlineStr">
        <is>
          <t>Іванюк Назарій</t>
        </is>
      </c>
      <c r="F266" s="22" t="inlineStr">
        <is>
          <t>Доопрацювання: адаптація налаштування прав Доступів під потреби</t>
        </is>
      </c>
      <c r="G266" s="22" t="inlineStr">
        <is>
          <t>Продовжено аналіз відпрацювання прав доступів на саценаріях</t>
        </is>
      </c>
      <c r="H266" s="23" t="n">
        <v>0.5</v>
      </c>
      <c r="I266" s="23" t="n">
        <v>0.5833</v>
      </c>
      <c r="J266" s="23">
        <f>I266-H266</f>
        <v/>
      </c>
      <c r="K266" s="22" t="inlineStr">
        <is>
          <t>частково виставлено</t>
        </is>
      </c>
      <c r="L266" s="24">
        <f>INDEX(Ставки!$C$2:$C$44,MATCH(D266,Ставки!$A$2:$A$44,0))</f>
        <v/>
      </c>
      <c r="M266" s="24">
        <f>J266*L266</f>
        <v/>
      </c>
      <c r="N266" s="22" t="inlineStr"/>
    </row>
    <row r="267">
      <c r="A267" s="22" t="n">
        <v>78740</v>
      </c>
      <c r="B267" s="22" t="inlineStr">
        <is>
          <t>2026-08-12</t>
        </is>
      </c>
      <c r="C267" s="22" t="inlineStr">
        <is>
          <t>2026</t>
        </is>
      </c>
      <c r="D267" s="22" t="inlineStr">
        <is>
          <t>2026-08</t>
        </is>
      </c>
      <c r="E267" s="22" t="inlineStr">
        <is>
          <t>Іванюк Назарій</t>
        </is>
      </c>
      <c r="F267" s="22" t="inlineStr">
        <is>
          <t>Доопрацювання: адаптація налаштування прав Доступів під потреби</t>
        </is>
      </c>
      <c r="G267" s="22" t="inlineStr">
        <is>
          <t>Розбір задачі з Олесем</t>
        </is>
      </c>
      <c r="H267" s="23" t="n">
        <v>0.75</v>
      </c>
      <c r="I267" s="23" t="n">
        <v>1.3333</v>
      </c>
      <c r="J267" s="23">
        <f>I267-H267</f>
        <v/>
      </c>
      <c r="K267" s="22" t="inlineStr">
        <is>
          <t>частково виставлено</t>
        </is>
      </c>
      <c r="L267" s="24">
        <f>INDEX(Ставки!$C$2:$C$44,MATCH(D267,Ставки!$A$2:$A$44,0))</f>
        <v/>
      </c>
      <c r="M267" s="24">
        <f>J267*L267</f>
        <v/>
      </c>
      <c r="N267" s="22" t="inlineStr"/>
    </row>
    <row r="268">
      <c r="A268" s="22" t="n">
        <v>78742</v>
      </c>
      <c r="B268" s="22" t="inlineStr">
        <is>
          <t>2026-08-13</t>
        </is>
      </c>
      <c r="C268" s="22" t="inlineStr">
        <is>
          <t>2026</t>
        </is>
      </c>
      <c r="D268" s="22" t="inlineStr">
        <is>
          <t>2026-08</t>
        </is>
      </c>
      <c r="E268" s="22" t="inlineStr">
        <is>
          <t>Іванюк Назарій</t>
        </is>
      </c>
      <c r="F268" s="22" t="inlineStr">
        <is>
          <t>Доопрацювання: адаптація налаштування прав Доступів під потреби</t>
        </is>
      </c>
      <c r="G268" s="22" t="inlineStr">
        <is>
          <t>Підготовка задачі</t>
        </is>
      </c>
      <c r="H268" s="23" t="n">
        <v>0.5</v>
      </c>
      <c r="I268" s="23" t="n">
        <v>1.1167</v>
      </c>
      <c r="J268" s="23">
        <f>I268-H268</f>
        <v/>
      </c>
      <c r="K268" s="22" t="inlineStr">
        <is>
          <t>частково виставлено</t>
        </is>
      </c>
      <c r="L268" s="24">
        <f>INDEX(Ставки!$C$2:$C$44,MATCH(D268,Ставки!$A$2:$A$44,0))</f>
        <v/>
      </c>
      <c r="M268" s="24">
        <f>J268*L268</f>
        <v/>
      </c>
      <c r="N268" s="22" t="inlineStr"/>
    </row>
    <row r="269">
      <c r="A269" s="22" t="n">
        <v>78743</v>
      </c>
      <c r="B269" s="22" t="inlineStr">
        <is>
          <t>2026-08-14</t>
        </is>
      </c>
      <c r="C269" s="22" t="inlineStr">
        <is>
          <t>2026</t>
        </is>
      </c>
      <c r="D269" s="22" t="inlineStr">
        <is>
          <t>2026-08</t>
        </is>
      </c>
      <c r="E269" s="22" t="inlineStr">
        <is>
          <t>Іванюк Назарій</t>
        </is>
      </c>
      <c r="F269" s="22" t="inlineStr">
        <is>
          <t>Доопрацювання: адаптація налаштування прав Доступів під потреби</t>
        </is>
      </c>
      <c r="G269" s="22" t="inlineStr">
        <is>
          <t>Підготовка задачі</t>
        </is>
      </c>
      <c r="H269" s="23" t="n">
        <v>0.5</v>
      </c>
      <c r="I269" s="23" t="n">
        <v>0.9167</v>
      </c>
      <c r="J269" s="23">
        <f>I269-H269</f>
        <v/>
      </c>
      <c r="K269" s="22" t="inlineStr">
        <is>
          <t>частково виставлено</t>
        </is>
      </c>
      <c r="L269" s="24">
        <f>INDEX(Ставки!$C$2:$C$44,MATCH(D269,Ставки!$A$2:$A$44,0))</f>
        <v/>
      </c>
      <c r="M269" s="24">
        <f>J269*L269</f>
        <v/>
      </c>
      <c r="N269" s="22" t="inlineStr"/>
    </row>
    <row r="270">
      <c r="A270" s="22" t="n">
        <v>79948</v>
      </c>
      <c r="B270" s="22" t="inlineStr">
        <is>
          <t>2026-08-17</t>
        </is>
      </c>
      <c r="C270" s="22" t="inlineStr">
        <is>
          <t>2026</t>
        </is>
      </c>
      <c r="D270" s="22" t="inlineStr">
        <is>
          <t>2026-08</t>
        </is>
      </c>
      <c r="E270" s="22" t="inlineStr">
        <is>
          <t>Адаменко Олесь</t>
        </is>
      </c>
      <c r="F270" s="22" t="inlineStr">
        <is>
          <t>Доопрацювання: адаптація налаштування прав Доступів під потреби</t>
        </is>
      </c>
      <c r="G270" s="22" t="inlineStr">
        <is>
          <t>Обговорено, дано рекомендацій та погоджено ТР</t>
        </is>
      </c>
      <c r="H270" s="23" t="n">
        <v>0</v>
      </c>
      <c r="I270" s="23" t="n">
        <v>1.2167</v>
      </c>
      <c r="J270" s="23">
        <f>I270-H270</f>
        <v/>
      </c>
      <c r="K270" s="22" t="inlineStr">
        <is>
          <t>безкоштовно (виставлено 0)</t>
        </is>
      </c>
      <c r="L270" s="24">
        <f>INDEX(Ставки!$C$2:$C$44,MATCH(D270,Ставки!$A$2:$A$44,0))</f>
        <v/>
      </c>
      <c r="M270" s="24">
        <f>J270*L270</f>
        <v/>
      </c>
      <c r="N270" s="22" t="inlineStr"/>
    </row>
    <row r="271">
      <c r="A271" s="22" t="n">
        <v>79949</v>
      </c>
      <c r="B271" s="22" t="inlineStr">
        <is>
          <t>2026-08-18</t>
        </is>
      </c>
      <c r="C271" s="22" t="inlineStr">
        <is>
          <t>2026</t>
        </is>
      </c>
      <c r="D271" s="22" t="inlineStr">
        <is>
          <t>2026-08</t>
        </is>
      </c>
      <c r="E271" s="22" t="inlineStr">
        <is>
          <t>Адаменко Олесь</t>
        </is>
      </c>
      <c r="F271" s="22" t="inlineStr">
        <is>
          <t>Менеджмент  проекту</t>
        </is>
      </c>
      <c r="G271" s="22" t="inlineStr">
        <is>
          <t>Зустріч з замовником</t>
        </is>
      </c>
      <c r="H271" s="23" t="n">
        <v>0</v>
      </c>
      <c r="I271" s="23" t="n">
        <v>0.5</v>
      </c>
      <c r="J271" s="23">
        <f>I271-H271</f>
        <v/>
      </c>
      <c r="K271" s="22" t="inlineStr">
        <is>
          <t>безкоштовно (виставлено 0)</t>
        </is>
      </c>
      <c r="L271" s="24">
        <f>INDEX(Ставки!$C$2:$C$44,MATCH(D271,Ставки!$A$2:$A$44,0))</f>
        <v/>
      </c>
      <c r="M271" s="24">
        <f>J271*L271</f>
        <v/>
      </c>
      <c r="N271" s="22" t="inlineStr"/>
    </row>
    <row r="272">
      <c r="A272" s="22" t="n">
        <v>79306</v>
      </c>
      <c r="B272" s="22" t="inlineStr">
        <is>
          <t>2026-08-20</t>
        </is>
      </c>
      <c r="C272" s="22" t="inlineStr">
        <is>
          <t>2026</t>
        </is>
      </c>
      <c r="D272" s="22" t="inlineStr">
        <is>
          <t>2026-08</t>
        </is>
      </c>
      <c r="E272" s="22" t="inlineStr">
        <is>
          <t>Волохов Максим</t>
        </is>
      </c>
      <c r="F272" s="22" t="inlineStr">
        <is>
          <t>Питання: Відображення системного повідомлення</t>
        </is>
      </c>
      <c r="G272" s="22" t="inlineStr">
        <is>
          <t xml:space="preserve">Проведено аналіз запиту замовника за 20.08.2026. По винекненю системного повідомлення системи. Після аналізу було виявлено що певні розширення в браузері блокують Скрипти. Надано інструкцію по пошуку </t>
        </is>
      </c>
      <c r="H272" s="23" t="n">
        <v>0.75</v>
      </c>
      <c r="I272" s="23" t="n">
        <v>0.7667</v>
      </c>
      <c r="J272" s="23">
        <f>I272-H272</f>
        <v/>
      </c>
      <c r="K272" s="22" t="inlineStr">
        <is>
          <t>частково виставлено</t>
        </is>
      </c>
      <c r="L272" s="24">
        <f>INDEX(Ставки!$C$2:$C$44,MATCH(D272,Ставки!$A$2:$A$44,0))</f>
        <v/>
      </c>
      <c r="M272" s="24">
        <f>J272*L272</f>
        <v/>
      </c>
      <c r="N272" s="22" t="inlineStr"/>
    </row>
    <row r="273">
      <c r="A273" s="22" t="n">
        <v>80676</v>
      </c>
      <c r="B273" s="22" t="inlineStr">
        <is>
          <t>2026-08-21</t>
        </is>
      </c>
      <c r="C273" s="22" t="inlineStr">
        <is>
          <t>2026</t>
        </is>
      </c>
      <c r="D273" s="22" t="inlineStr">
        <is>
          <t>2026-08</t>
        </is>
      </c>
      <c r="E273" s="22" t="inlineStr">
        <is>
          <t>Станіславчук Олександр</t>
        </is>
      </c>
      <c r="F273" s="22" t="inlineStr">
        <is>
          <t>Доопрацювання: адаптація налаштування прав Доступів під потреби</t>
        </is>
      </c>
      <c r="G273" s="22" t="inlineStr">
        <is>
          <t>Випрвлено помилку логіки прав доступів:</t>
        </is>
      </c>
      <c r="H273" s="23" t="n">
        <v>0</v>
      </c>
      <c r="I273" s="23" t="n">
        <v>1.2333</v>
      </c>
      <c r="J273" s="23">
        <f>I273-H273</f>
        <v/>
      </c>
      <c r="K273" s="22" t="inlineStr">
        <is>
          <t>безкоштовно (виставлено 0)</t>
        </is>
      </c>
      <c r="L273" s="24">
        <f>INDEX(Ставки!$C$2:$C$44,MATCH(D273,Ставки!$A$2:$A$44,0))</f>
        <v/>
      </c>
      <c r="M273" s="24">
        <f>J273*L273</f>
        <v/>
      </c>
      <c r="N273" s="22" t="inlineStr"/>
    </row>
    <row r="274">
      <c r="A274" s="22" t="n">
        <v>79682</v>
      </c>
      <c r="B274" s="22" t="inlineStr">
        <is>
          <t>2026-08-24</t>
        </is>
      </c>
      <c r="C274" s="22" t="inlineStr">
        <is>
          <t>2026</t>
        </is>
      </c>
      <c r="D274" s="22" t="inlineStr">
        <is>
          <t>2026-08</t>
        </is>
      </c>
      <c r="E274" s="22" t="inlineStr">
        <is>
          <t>Іванюк Назарій</t>
        </is>
      </c>
      <c r="F274" s="22" t="inlineStr">
        <is>
          <t>Концепт по інтеграції з ШІ</t>
        </is>
      </c>
      <c r="G274" s="22" t="inlineStr">
        <is>
          <t>Зустріч з замовником по питанню роботи з ШІ</t>
        </is>
      </c>
      <c r="H274" s="23" t="n">
        <v>0.25</v>
      </c>
      <c r="I274" s="23" t="n">
        <v>0.6833</v>
      </c>
      <c r="J274" s="23">
        <f>I274-H274</f>
        <v/>
      </c>
      <c r="K274" s="22" t="inlineStr">
        <is>
          <t>частково виставлено</t>
        </is>
      </c>
      <c r="L274" s="24">
        <f>INDEX(Ставки!$C$2:$C$44,MATCH(D274,Ставки!$A$2:$A$44,0))</f>
        <v/>
      </c>
      <c r="M274" s="24">
        <f>J274*L274</f>
        <v/>
      </c>
      <c r="N274" s="22" t="inlineStr"/>
    </row>
    <row r="275">
      <c r="A275" s="22" t="n">
        <v>80786</v>
      </c>
      <c r="B275" s="22" t="inlineStr">
        <is>
          <t>2026-09-02</t>
        </is>
      </c>
      <c r="C275" s="22" t="inlineStr">
        <is>
          <t>2026</t>
        </is>
      </c>
      <c r="D275" s="22" t="inlineStr">
        <is>
          <t>2026-09</t>
        </is>
      </c>
      <c r="E275" s="22" t="inlineStr">
        <is>
          <t>Іванюк Назарій</t>
        </is>
      </c>
      <c r="F275" s="22" t="inlineStr">
        <is>
          <t>Доопрацювання: адаптація налаштування прав Доступів під потреби</t>
        </is>
      </c>
      <c r="G275" s="22" t="inlineStr">
        <is>
          <t>Перевірив оновлення налаштувань прав доступів на проді</t>
        </is>
      </c>
      <c r="H275" s="23" t="n">
        <v>0</v>
      </c>
      <c r="I275" s="23" t="n">
        <v>0.1833</v>
      </c>
      <c r="J275" s="23">
        <f>I275-H275</f>
        <v/>
      </c>
      <c r="K275" s="22" t="inlineStr">
        <is>
          <t>безкоштовно (виставлено 0)</t>
        </is>
      </c>
      <c r="L275" s="24">
        <f>INDEX(Ставки!$C$2:$C$44,MATCH(D275,Ставки!$A$2:$A$44,0))</f>
        <v/>
      </c>
      <c r="M275" s="24">
        <f>J275*L275</f>
        <v/>
      </c>
      <c r="N275" s="22" t="inlineStr"/>
    </row>
    <row r="276">
      <c r="A276" s="22" t="n">
        <v>81395</v>
      </c>
      <c r="B276" s="22" t="inlineStr">
        <is>
          <t>2026-09-04</t>
        </is>
      </c>
      <c r="C276" s="22" t="inlineStr">
        <is>
          <t>2026</t>
        </is>
      </c>
      <c r="D276" s="22" t="inlineStr">
        <is>
          <t>2026-09</t>
        </is>
      </c>
      <c r="E276" s="22" t="inlineStr">
        <is>
          <t>Адаменко Олесь</t>
        </is>
      </c>
      <c r="F276" s="22" t="inlineStr">
        <is>
          <t>Описати структуру роботи серверів Odoo</t>
        </is>
      </c>
      <c r="G276" s="22" t="inlineStr">
        <is>
          <t>Збір даних та сформовано опис. Передано на верифікацію відділу розробки</t>
        </is>
      </c>
      <c r="H276" s="23" t="n">
        <v>1.5</v>
      </c>
      <c r="I276" s="23" t="n">
        <v>1.7833</v>
      </c>
      <c r="J276" s="23">
        <f>I276-H276</f>
        <v/>
      </c>
      <c r="K276" s="22" t="inlineStr">
        <is>
          <t>частково виставлено</t>
        </is>
      </c>
      <c r="L276" s="24">
        <f>INDEX(Ставки!$C$2:$C$44,MATCH(D276,Ставки!$A$2:$A$44,0))</f>
        <v/>
      </c>
      <c r="M276" s="24">
        <f>J276*L276</f>
        <v/>
      </c>
      <c r="N276" s="22" t="inlineStr"/>
    </row>
    <row r="277">
      <c r="A277" s="22" t="n">
        <v>82208</v>
      </c>
      <c r="B277" s="22" t="inlineStr">
        <is>
          <t>2026-09-15</t>
        </is>
      </c>
      <c r="C277" s="22" t="inlineStr">
        <is>
          <t>2026</t>
        </is>
      </c>
      <c r="D277" s="22" t="inlineStr">
        <is>
          <t>2026-09</t>
        </is>
      </c>
      <c r="E277" s="22" t="inlineStr">
        <is>
          <t>Станіславчук Олександр</t>
        </is>
      </c>
      <c r="F277" s="22" t="inlineStr">
        <is>
          <t>Виправлення: повернути можливість редагувати поле пріоритета проекту</t>
        </is>
      </c>
      <c r="G277" s="22" t="inlineStr">
        <is>
          <t>Внесення доробки в функціонал запису Проетів, поля Пріорітет</t>
        </is>
      </c>
      <c r="H277" s="23" t="n">
        <v>0</v>
      </c>
      <c r="I277" s="23" t="n">
        <v>1</v>
      </c>
      <c r="J277" s="23">
        <f>I277-H277</f>
        <v/>
      </c>
      <c r="K277" s="22" t="inlineStr">
        <is>
          <t>безкоштовно (виставлено 0)</t>
        </is>
      </c>
      <c r="L277" s="24">
        <f>INDEX(Ставки!$C$2:$C$44,MATCH(D277,Ставки!$A$2:$A$44,0))</f>
        <v/>
      </c>
      <c r="M277" s="24">
        <f>J277*L277</f>
        <v/>
      </c>
      <c r="N277" s="22" t="inlineStr">
        <is>
          <t>обнулено 02.10.2026</t>
        </is>
      </c>
    </row>
    <row r="278">
      <c r="A278" s="22" t="n">
        <v>82949</v>
      </c>
      <c r="B278" s="22" t="inlineStr">
        <is>
          <t>2026-09-22</t>
        </is>
      </c>
      <c r="C278" s="22" t="inlineStr">
        <is>
          <t>2026</t>
        </is>
      </c>
      <c r="D278" s="22" t="inlineStr">
        <is>
          <t>2026-09</t>
        </is>
      </c>
      <c r="E278" s="22" t="inlineStr">
        <is>
          <t>Кутько Ігор</t>
        </is>
      </c>
      <c r="F278" s="22" t="inlineStr">
        <is>
          <t>Перенести оновлення на prod базу</t>
        </is>
      </c>
      <c r="G278" s="22" t="inlineStr">
        <is>
          <t>Оновлено сервер</t>
        </is>
      </c>
      <c r="H278" s="23" t="n">
        <v>0</v>
      </c>
      <c r="I278" s="23" t="n">
        <v>0.5</v>
      </c>
      <c r="J278" s="23">
        <f>I278-H278</f>
        <v/>
      </c>
      <c r="K278" s="22" t="inlineStr">
        <is>
          <t>безкоштовно (виставлено 0)</t>
        </is>
      </c>
      <c r="L278" s="24">
        <f>INDEX(Ставки!$C$2:$C$44,MATCH(D278,Ставки!$A$2:$A$44,0))</f>
        <v/>
      </c>
      <c r="M278" s="24">
        <f>J278*L278</f>
        <v/>
      </c>
      <c r="N278" s="22" t="inlineStr">
        <is>
          <t>обнулено 02.10.2026 (вересень — поступка)</t>
        </is>
      </c>
    </row>
    <row r="279">
      <c r="A279" s="17" t="inlineStr">
        <is>
          <t>РАЗОМ</t>
        </is>
      </c>
      <c r="B279" s="2" t="n"/>
      <c r="C279" s="2" t="n"/>
      <c r="D279" s="2" t="n"/>
      <c r="E279" s="2" t="n"/>
      <c r="F279" s="2" t="n"/>
      <c r="G279" s="2" t="n"/>
      <c r="H279" s="17">
        <f>SUM(H2:H278)</f>
        <v/>
      </c>
      <c r="I279" s="17">
        <f>SUM(I2:I278)</f>
        <v/>
      </c>
      <c r="J279" s="17">
        <f>SUM(J2:J278)</f>
        <v/>
      </c>
      <c r="K279" s="2" t="n"/>
      <c r="L279" s="2" t="n"/>
      <c r="M279" s="18">
        <f>SUM(M2:M278)</f>
        <v/>
      </c>
      <c r="N279" s="2" t="n"/>
    </row>
  </sheetData>
  <autoFilter ref="A1:N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9" customWidth="1" min="4" max="4"/>
    <col width="26" customWidth="1" min="5" max="5"/>
    <col width="55" customWidth="1" min="6" max="6"/>
    <col width="34" customWidth="1" min="7" max="7"/>
    <col width="10" customWidth="1" min="8" max="8"/>
    <col width="11" customWidth="1" min="9" max="9"/>
    <col width="11" customWidth="1" min="10" max="10"/>
    <col width="11" customWidth="1" min="11" max="11"/>
    <col width="40" customWidth="1" min="12" max="12"/>
  </cols>
  <sheetData>
    <row r="1" ht="32" customHeight="1">
      <c r="A1" s="4" t="inlineStr">
        <is>
          <t>№</t>
        </is>
      </c>
      <c r="B1" s="4" t="inlineStr">
        <is>
          <t>Дата</t>
        </is>
      </c>
      <c r="C1" s="4" t="inlineStr">
        <is>
          <t>Рік</t>
        </is>
      </c>
      <c r="D1" s="4" t="inlineStr">
        <is>
          <t>Місяць</t>
        </is>
      </c>
      <c r="E1" s="4" t="inlineStr">
        <is>
          <t>Хто з ToDo</t>
        </is>
      </c>
      <c r="F1" s="4" t="inlineStr">
        <is>
          <t>Що зроблено</t>
        </is>
      </c>
      <c r="G1" s="4" t="inlineStr">
        <is>
          <t>Джерело</t>
        </is>
      </c>
      <c r="H1" s="4" t="inlineStr">
        <is>
          <t>Оцінка, год</t>
        </is>
      </c>
      <c r="I1" s="4" t="inlineStr">
        <is>
          <t>Впевненість</t>
        </is>
      </c>
      <c r="J1" s="4" t="inlineStr">
        <is>
          <t>Ставка, грн/год</t>
        </is>
      </c>
      <c r="K1" s="4" t="inlineStr">
        <is>
          <t>Сума, грн</t>
        </is>
      </c>
      <c r="L1" s="4" t="inlineStr">
        <is>
          <t>Примітка</t>
        </is>
      </c>
    </row>
    <row r="2">
      <c r="A2" s="22" t="n">
        <v>1</v>
      </c>
      <c r="B2" s="22" t="inlineStr">
        <is>
          <t>2023-05-11</t>
        </is>
      </c>
      <c r="C2" s="22" t="inlineStr">
        <is>
          <t>2023</t>
        </is>
      </c>
      <c r="D2" s="22" t="inlineStr">
        <is>
          <t>2023-05</t>
        </is>
      </c>
      <c r="E2" s="22" t="inlineStr">
        <is>
          <t>Панков Євген / Бардаков</t>
        </is>
      </c>
      <c r="F2" s="22" t="inlineStr">
        <is>
          <t>Zoom-зустріч Discovery, запис у папку Discovery</t>
        </is>
      </c>
      <c r="G2" s="22" t="inlineStr">
        <is>
          <t>TG [11]–[19]</t>
        </is>
      </c>
      <c r="H2" s="25" t="n">
        <v>0.5</v>
      </c>
      <c r="I2" s="22" t="inlineStr">
        <is>
          <t>низька</t>
        </is>
      </c>
      <c r="J2" s="24">
        <f>INDEX(Ставки!$C$2:$C$44,MATCH(D2,Ставки!$A$2:$A$44,0))</f>
        <v/>
      </c>
      <c r="K2" s="24">
        <f>H2*J2</f>
        <v/>
      </c>
      <c r="L2" s="22" t="inlineStr">
        <is>
          <t>пресейл до договору</t>
        </is>
      </c>
    </row>
    <row r="3">
      <c r="A3" s="22" t="n">
        <v>2</v>
      </c>
      <c r="B3" s="22" t="inlineStr">
        <is>
          <t>2023-05-12</t>
        </is>
      </c>
      <c r="C3" s="22" t="inlineStr">
        <is>
          <t>2023</t>
        </is>
      </c>
      <c r="D3" s="22" t="inlineStr">
        <is>
          <t>2023-05</t>
        </is>
      </c>
      <c r="E3" s="22" t="inlineStr">
        <is>
          <t>Панков Євген</t>
        </is>
      </c>
      <c r="F3" s="22" t="inlineStr">
        <is>
          <t>Структура папки Discovery, документ «Запит на надання інформації»</t>
        </is>
      </c>
      <c r="G3" s="22" t="inlineStr">
        <is>
          <t>TG [19]–[20]</t>
        </is>
      </c>
      <c r="H3" s="25" t="n">
        <v>0.5</v>
      </c>
      <c r="I3" s="22" t="inlineStr">
        <is>
          <t>низька</t>
        </is>
      </c>
      <c r="J3" s="24">
        <f>INDEX(Ставки!$C$2:$C$44,MATCH(D3,Ставки!$A$2:$A$44,0))</f>
        <v/>
      </c>
      <c r="K3" s="24">
        <f>H3*J3</f>
        <v/>
      </c>
      <c r="L3" s="22" t="inlineStr">
        <is>
          <t>пресейл до договору</t>
        </is>
      </c>
    </row>
    <row r="4">
      <c r="A4" s="22" t="n">
        <v>3</v>
      </c>
      <c r="B4" s="22" t="inlineStr">
        <is>
          <t>2023-05-16</t>
        </is>
      </c>
      <c r="C4" s="22" t="inlineStr">
        <is>
          <t>2023</t>
        </is>
      </c>
      <c r="D4" s="22" t="inlineStr">
        <is>
          <t>2023-05</t>
        </is>
      </c>
      <c r="E4" s="22" t="inlineStr">
        <is>
          <t>Панков Євген</t>
        </is>
      </c>
      <c r="F4" s="22" t="inlineStr">
        <is>
          <t>Оновлення документа-запиту, нагадування клієнту</t>
        </is>
      </c>
      <c r="G4" s="22" t="inlineStr">
        <is>
          <t>TG [25]–[26]</t>
        </is>
      </c>
      <c r="H4" s="25" t="n">
        <v>0.25</v>
      </c>
      <c r="I4" s="22" t="inlineStr">
        <is>
          <t>низька</t>
        </is>
      </c>
      <c r="J4" s="24">
        <f>INDEX(Ставки!$C$2:$C$44,MATCH(D4,Ставки!$A$2:$A$44,0))</f>
        <v/>
      </c>
      <c r="K4" s="24">
        <f>H4*J4</f>
        <v/>
      </c>
      <c r="L4" s="22" t="inlineStr">
        <is>
          <t>пресейл до договору</t>
        </is>
      </c>
    </row>
    <row r="5">
      <c r="A5" s="22" t="n">
        <v>4</v>
      </c>
      <c r="B5" s="22" t="inlineStr">
        <is>
          <t>2023-05-17</t>
        </is>
      </c>
      <c r="C5" s="22" t="inlineStr">
        <is>
          <t>2023</t>
        </is>
      </c>
      <c r="D5" s="22" t="inlineStr">
        <is>
          <t>2023-05</t>
        </is>
      </c>
      <c r="E5" s="22" t="inlineStr">
        <is>
          <t>Панков Євген</t>
        </is>
      </c>
      <c r="F5" s="22" t="inlineStr">
        <is>
          <t>Zoom-конференція з клієнтом</t>
        </is>
      </c>
      <c r="G5" s="22" t="inlineStr">
        <is>
          <t>TG [28]</t>
        </is>
      </c>
      <c r="H5" s="25" t="n">
        <v>0.5</v>
      </c>
      <c r="I5" s="22" t="inlineStr">
        <is>
          <t>низька</t>
        </is>
      </c>
      <c r="J5" s="24">
        <f>INDEX(Ставки!$C$2:$C$44,MATCH(D5,Ставки!$A$2:$A$44,0))</f>
        <v/>
      </c>
      <c r="K5" s="24">
        <f>H5*J5</f>
        <v/>
      </c>
      <c r="L5" s="22" t="inlineStr">
        <is>
          <t>пресейл до договору</t>
        </is>
      </c>
    </row>
    <row r="6">
      <c r="A6" s="22" t="n">
        <v>5</v>
      </c>
      <c r="B6" s="22" t="inlineStr">
        <is>
          <t>2023-06-01</t>
        </is>
      </c>
      <c r="C6" s="22" t="inlineStr">
        <is>
          <t>2023</t>
        </is>
      </c>
      <c r="D6" s="22" t="inlineStr">
        <is>
          <t>2023-06</t>
        </is>
      </c>
      <c r="E6" s="22" t="inlineStr">
        <is>
          <t>Бардаков</t>
        </is>
      </c>
      <c r="F6" s="22" t="inlineStr">
        <is>
          <t>Консультація щодо обсягу CRM / управління проєктами</t>
        </is>
      </c>
      <c r="G6" s="22" t="inlineStr">
        <is>
          <t>TG [44]–[50]</t>
        </is>
      </c>
      <c r="H6" s="25" t="n">
        <v>0.25</v>
      </c>
      <c r="I6" s="22" t="inlineStr">
        <is>
          <t>низька</t>
        </is>
      </c>
      <c r="J6" s="24">
        <f>INDEX(Ставки!$C$2:$C$44,MATCH(D6,Ставки!$A$2:$A$44,0))</f>
        <v/>
      </c>
      <c r="K6" s="24">
        <f>H6*J6</f>
        <v/>
      </c>
      <c r="L6" s="22" t="inlineStr">
        <is>
          <t>пресейл до договору</t>
        </is>
      </c>
    </row>
    <row r="7">
      <c r="A7" s="22" t="n">
        <v>6</v>
      </c>
      <c r="B7" s="22" t="inlineStr">
        <is>
          <t>2023-06-02</t>
        </is>
      </c>
      <c r="C7" s="22" t="inlineStr">
        <is>
          <t>2023</t>
        </is>
      </c>
      <c r="D7" s="22" t="inlineStr">
        <is>
          <t>2023-06</t>
        </is>
      </c>
      <c r="E7" s="22" t="inlineStr">
        <is>
          <t>Бардаков</t>
        </is>
      </c>
      <c r="F7" s="22" t="inlineStr">
        <is>
          <t>Таблиця «Перелік робіт» (оцінка)</t>
        </is>
      </c>
      <c r="G7" s="22" t="inlineStr">
        <is>
          <t>TG [52]</t>
        </is>
      </c>
      <c r="H7" s="25" t="n">
        <v>0.5</v>
      </c>
      <c r="I7" s="22" t="inlineStr">
        <is>
          <t>низька</t>
        </is>
      </c>
      <c r="J7" s="24">
        <f>INDEX(Ставки!$C$2:$C$44,MATCH(D7,Ставки!$A$2:$A$44,0))</f>
        <v/>
      </c>
      <c r="K7" s="24">
        <f>H7*J7</f>
        <v/>
      </c>
      <c r="L7" s="22" t="inlineStr">
        <is>
          <t>пресейл до договору</t>
        </is>
      </c>
    </row>
    <row r="8">
      <c r="A8" s="22" t="n">
        <v>7</v>
      </c>
      <c r="B8" s="22" t="inlineStr">
        <is>
          <t>2023-07-12</t>
        </is>
      </c>
      <c r="C8" s="22" t="inlineStr">
        <is>
          <t>2023</t>
        </is>
      </c>
      <c r="D8" s="22" t="inlineStr">
        <is>
          <t>2023-07</t>
        </is>
      </c>
      <c r="E8" s="22" t="inlineStr">
        <is>
          <t>Єгамбердієва</t>
        </is>
      </c>
      <c r="F8" s="22" t="inlineStr">
        <is>
          <t>Зустріч з клієнтом</t>
        </is>
      </c>
      <c r="G8" s="22" t="inlineStr">
        <is>
          <t>TG [221], [234]</t>
        </is>
      </c>
      <c r="H8" s="25" t="n">
        <v>0.5</v>
      </c>
      <c r="I8" s="22" t="inlineStr">
        <is>
          <t>середня</t>
        </is>
      </c>
      <c r="J8" s="24">
        <f>INDEX(Ставки!$C$2:$C$44,MATCH(D8,Ставки!$A$2:$A$44,0))</f>
        <v/>
      </c>
      <c r="K8" s="24">
        <f>H8*J8</f>
        <v/>
      </c>
      <c r="L8" s="22" t="inlineStr"/>
    </row>
    <row r="9">
      <c r="A9" s="22" t="n">
        <v>8</v>
      </c>
      <c r="B9" s="22" t="inlineStr">
        <is>
          <t>2023-07-31</t>
        </is>
      </c>
      <c r="C9" s="22" t="inlineStr">
        <is>
          <t>2023</t>
        </is>
      </c>
      <c r="D9" s="22" t="inlineStr">
        <is>
          <t>2023-07</t>
        </is>
      </c>
      <c r="E9" s="22" t="inlineStr">
        <is>
          <t>Єгамбердієва</t>
        </is>
      </c>
      <c r="F9" s="22" t="inlineStr">
        <is>
          <t>Доступ до демо-бази модуля діаграми Ганта</t>
        </is>
      </c>
      <c r="G9" s="22" t="inlineStr">
        <is>
          <t>TG [354]</t>
        </is>
      </c>
      <c r="H9" s="25" t="n">
        <v>0.25</v>
      </c>
      <c r="I9" s="22" t="inlineStr">
        <is>
          <t>середня</t>
        </is>
      </c>
      <c r="J9" s="24">
        <f>INDEX(Ставки!$C$2:$C$44,MATCH(D9,Ставки!$A$2:$A$44,0))</f>
        <v/>
      </c>
      <c r="K9" s="24">
        <f>H9*J9</f>
        <v/>
      </c>
      <c r="L9" s="22" t="inlineStr"/>
    </row>
    <row r="10">
      <c r="A10" s="22" t="n">
        <v>9</v>
      </c>
      <c r="B10" s="22" t="inlineStr">
        <is>
          <t>2023-09-01</t>
        </is>
      </c>
      <c r="C10" s="22" t="inlineStr">
        <is>
          <t>2023</t>
        </is>
      </c>
      <c r="D10" s="22" t="inlineStr">
        <is>
          <t>2023-09</t>
        </is>
      </c>
      <c r="E10" s="22" t="inlineStr">
        <is>
          <t>Єгамбердієва</t>
        </is>
      </c>
      <c r="F10" s="22" t="inlineStr">
        <is>
          <t>Зустріч з клієнтом</t>
        </is>
      </c>
      <c r="G10" s="22" t="inlineStr">
        <is>
          <t>TG [729], [730]</t>
        </is>
      </c>
      <c r="H10" s="25" t="n">
        <v>0.5</v>
      </c>
      <c r="I10" s="22" t="inlineStr">
        <is>
          <t>середня</t>
        </is>
      </c>
      <c r="J10" s="24">
        <f>INDEX(Ставки!$C$2:$C$44,MATCH(D10,Ставки!$A$2:$A$44,0))</f>
        <v/>
      </c>
      <c r="K10" s="24">
        <f>H10*J10</f>
        <v/>
      </c>
      <c r="L10" s="22" t="inlineStr"/>
    </row>
    <row r="11">
      <c r="A11" s="22" t="n">
        <v>10</v>
      </c>
      <c r="B11" s="22" t="inlineStr">
        <is>
          <t>2023-09-05</t>
        </is>
      </c>
      <c r="C11" s="22" t="inlineStr">
        <is>
          <t>2023</t>
        </is>
      </c>
      <c r="D11" s="22" t="inlineStr">
        <is>
          <t>2023-09</t>
        </is>
      </c>
      <c r="E11" s="22" t="inlineStr">
        <is>
          <t>Єгамбердієва</t>
        </is>
      </c>
      <c r="F11" s="22" t="inlineStr">
        <is>
          <t>Зустріч з клієнтом</t>
        </is>
      </c>
      <c r="G11" s="22" t="inlineStr">
        <is>
          <t>TG [738], [741]</t>
        </is>
      </c>
      <c r="H11" s="25" t="n">
        <v>0.25</v>
      </c>
      <c r="I11" s="22" t="inlineStr">
        <is>
          <t>середня</t>
        </is>
      </c>
      <c r="J11" s="24">
        <f>INDEX(Ставки!$C$2:$C$44,MATCH(D11,Ставки!$A$2:$A$44,0))</f>
        <v/>
      </c>
      <c r="K11" s="24">
        <f>H11*J11</f>
        <v/>
      </c>
      <c r="L11" s="22" t="inlineStr"/>
    </row>
    <row r="12">
      <c r="A12" s="22" t="n">
        <v>11</v>
      </c>
      <c r="B12" s="22" t="inlineStr">
        <is>
          <t>2023-09-13</t>
        </is>
      </c>
      <c r="C12" s="22" t="inlineStr">
        <is>
          <t>2023</t>
        </is>
      </c>
      <c r="D12" s="22" t="inlineStr">
        <is>
          <t>2023-09</t>
        </is>
      </c>
      <c r="E12" s="22" t="inlineStr">
        <is>
          <t>Ніжніковський</t>
        </is>
      </c>
      <c r="F12" s="22" t="inlineStr">
        <is>
          <t>Підбір модуля діаграми Ганта, відповідь клієнту, пропозиція зібрати ТЗ</t>
        </is>
      </c>
      <c r="G12" s="22" t="inlineStr">
        <is>
          <t>TG [826], [839]–[846]</t>
        </is>
      </c>
      <c r="H12" s="25" t="n">
        <v>0.5</v>
      </c>
      <c r="I12" s="22" t="inlineStr">
        <is>
          <t>середня</t>
        </is>
      </c>
      <c r="J12" s="24">
        <f>INDEX(Ставки!$C$2:$C$44,MATCH(D12,Ставки!$A$2:$A$44,0))</f>
        <v/>
      </c>
      <c r="K12" s="24">
        <f>H12*J12</f>
        <v/>
      </c>
      <c r="L12" s="22" t="inlineStr"/>
    </row>
    <row r="13">
      <c r="A13" s="22" t="n">
        <v>12</v>
      </c>
      <c r="B13" s="22" t="inlineStr">
        <is>
          <t>2023-09-19</t>
        </is>
      </c>
      <c r="C13" s="22" t="inlineStr">
        <is>
          <t>2023</t>
        </is>
      </c>
      <c r="D13" s="22" t="inlineStr">
        <is>
          <t>2023-09</t>
        </is>
      </c>
      <c r="E13" s="22" t="inlineStr">
        <is>
          <t>Ніжніковський</t>
        </is>
      </c>
      <c r="F13" s="22" t="inlineStr">
        <is>
          <t>Зустріч з клієнтом</t>
        </is>
      </c>
      <c r="G13" s="22" t="inlineStr">
        <is>
          <t>TG [861]</t>
        </is>
      </c>
      <c r="H13" s="25" t="n">
        <v>0.5</v>
      </c>
      <c r="I13" s="22" t="inlineStr">
        <is>
          <t>середня</t>
        </is>
      </c>
      <c r="J13" s="24">
        <f>INDEX(Ставки!$C$2:$C$44,MATCH(D13,Ставки!$A$2:$A$44,0))</f>
        <v/>
      </c>
      <c r="K13" s="24">
        <f>H13*J13</f>
        <v/>
      </c>
      <c r="L13" s="22" t="inlineStr"/>
    </row>
    <row r="14">
      <c r="A14" s="22" t="n">
        <v>13</v>
      </c>
      <c r="B14" s="22" t="inlineStr">
        <is>
          <t>2023-09-26</t>
        </is>
      </c>
      <c r="C14" s="22" t="inlineStr">
        <is>
          <t>2023</t>
        </is>
      </c>
      <c r="D14" s="22" t="inlineStr">
        <is>
          <t>2023-09</t>
        </is>
      </c>
      <c r="E14" s="22" t="inlineStr">
        <is>
          <t>Єгамбердієва</t>
        </is>
      </c>
      <c r="F14" s="22" t="inlineStr">
        <is>
          <t>Навчання команди клієнта в Zoom, 12:00–13:00</t>
        </is>
      </c>
      <c r="G14" s="22" t="inlineStr">
        <is>
          <t>TG [875]–[896]</t>
        </is>
      </c>
      <c r="H14" s="25" t="n">
        <v>1</v>
      </c>
      <c r="I14" s="22" t="inlineStr">
        <is>
          <t>середня</t>
        </is>
      </c>
      <c r="J14" s="24">
        <f>INDEX(Ставки!$C$2:$C$44,MATCH(D14,Ставки!$A$2:$A$44,0))</f>
        <v/>
      </c>
      <c r="K14" s="24">
        <f>H14*J14</f>
        <v/>
      </c>
      <c r="L14" s="22" t="inlineStr"/>
    </row>
    <row r="15">
      <c r="A15" s="22" t="n">
        <v>14</v>
      </c>
      <c r="B15" s="22" t="inlineStr">
        <is>
          <t>2023-10-03</t>
        </is>
      </c>
      <c r="C15" s="22" t="inlineStr">
        <is>
          <t>2023</t>
        </is>
      </c>
      <c r="D15" s="22" t="inlineStr">
        <is>
          <t>2023-10</t>
        </is>
      </c>
      <c r="E15" s="22" t="inlineStr">
        <is>
          <t>Ніжніковський</t>
        </is>
      </c>
      <c r="F15" s="22" t="inlineStr">
        <is>
          <t>Доступ до папки із записами зустрічей</t>
        </is>
      </c>
      <c r="G15" s="22" t="inlineStr">
        <is>
          <t>TG [899]–[903]</t>
        </is>
      </c>
      <c r="H15" s="25" t="n">
        <v>0.25</v>
      </c>
      <c r="I15" s="22" t="inlineStr">
        <is>
          <t>середня</t>
        </is>
      </c>
      <c r="J15" s="24">
        <f>INDEX(Ставки!$C$2:$C$44,MATCH(D15,Ставки!$A$2:$A$44,0))</f>
        <v/>
      </c>
      <c r="K15" s="24">
        <f>H15*J15</f>
        <v/>
      </c>
      <c r="L15" s="22" t="inlineStr"/>
    </row>
    <row r="16">
      <c r="A16" s="22" t="n">
        <v>15</v>
      </c>
      <c r="B16" s="22" t="inlineStr">
        <is>
          <t>2023-10-11</t>
        </is>
      </c>
      <c r="C16" s="22" t="inlineStr">
        <is>
          <t>2023</t>
        </is>
      </c>
      <c r="D16" s="22" t="inlineStr">
        <is>
          <t>2023-10</t>
        </is>
      </c>
      <c r="E16" s="22" t="inlineStr">
        <is>
          <t>Фіголь Дмитро</t>
        </is>
      </c>
      <c r="F16" s="22" t="inlineStr">
        <is>
          <t>Аналіз відповідей розробників модуля Ганта на питання клієнта</t>
        </is>
      </c>
      <c r="G16" s="22" t="inlineStr">
        <is>
          <t>TG [940]–[944]</t>
        </is>
      </c>
      <c r="H16" s="25" t="n">
        <v>0.75</v>
      </c>
      <c r="I16" s="22" t="inlineStr">
        <is>
          <t>середня</t>
        </is>
      </c>
      <c r="J16" s="24">
        <f>INDEX(Ставки!$C$2:$C$44,MATCH(D16,Ставки!$A$2:$A$44,0))</f>
        <v/>
      </c>
      <c r="K16" s="24">
        <f>H16*J16</f>
        <v/>
      </c>
      <c r="L16" s="22" t="inlineStr"/>
    </row>
    <row r="17">
      <c r="A17" s="22" t="n">
        <v>16</v>
      </c>
      <c r="B17" s="22" t="inlineStr">
        <is>
          <t>2023-10-13</t>
        </is>
      </c>
      <c r="C17" s="22" t="inlineStr">
        <is>
          <t>2023</t>
        </is>
      </c>
      <c r="D17" s="22" t="inlineStr">
        <is>
          <t>2023-10</t>
        </is>
      </c>
      <c r="E17" s="22" t="inlineStr">
        <is>
          <t>Фіголь Дмитро</t>
        </is>
      </c>
      <c r="F17" s="22" t="inlineStr">
        <is>
          <t>Zoom-зустріч з клієнтом («маю десь годину»)</t>
        </is>
      </c>
      <c r="G17" s="22" t="inlineStr">
        <is>
          <t>TG [946]–[957]</t>
        </is>
      </c>
      <c r="H17" s="25" t="n">
        <v>1</v>
      </c>
      <c r="I17" s="22" t="inlineStr">
        <is>
          <t>середня</t>
        </is>
      </c>
      <c r="J17" s="24">
        <f>INDEX(Ставки!$C$2:$C$44,MATCH(D17,Ставки!$A$2:$A$44,0))</f>
        <v/>
      </c>
      <c r="K17" s="24">
        <f>H17*J17</f>
        <v/>
      </c>
      <c r="L17" s="22" t="inlineStr"/>
    </row>
    <row r="18">
      <c r="A18" s="22" t="n">
        <v>17</v>
      </c>
      <c r="B18" s="22" t="inlineStr">
        <is>
          <t>2023-10-24</t>
        </is>
      </c>
      <c r="C18" s="22" t="inlineStr">
        <is>
          <t>2023</t>
        </is>
      </c>
      <c r="D18" s="22" t="inlineStr">
        <is>
          <t>2023-10</t>
        </is>
      </c>
      <c r="E18" s="22" t="inlineStr">
        <is>
          <t>Фіголь Дмитро</t>
        </is>
      </c>
      <c r="F18" s="22" t="inlineStr">
        <is>
          <t>Зустріч з клієнтом</t>
        </is>
      </c>
      <c r="G18" s="22" t="inlineStr">
        <is>
          <t>TG [970], [974]</t>
        </is>
      </c>
      <c r="H18" s="25" t="n">
        <v>0.5</v>
      </c>
      <c r="I18" s="22" t="inlineStr">
        <is>
          <t>середня</t>
        </is>
      </c>
      <c r="J18" s="24">
        <f>INDEX(Ставки!$C$2:$C$44,MATCH(D18,Ставки!$A$2:$A$44,0))</f>
        <v/>
      </c>
      <c r="K18" s="24">
        <f>H18*J18</f>
        <v/>
      </c>
      <c r="L18" s="22" t="inlineStr">
        <is>
          <t>того ж дня є ручний рядок «Тестування» 1 год — інша тема</t>
        </is>
      </c>
    </row>
    <row r="19">
      <c r="A19" s="22" t="n">
        <v>18</v>
      </c>
      <c r="B19" s="22" t="inlineStr">
        <is>
          <t>2023-12-04</t>
        </is>
      </c>
      <c r="C19" s="22" t="inlineStr">
        <is>
          <t>2023</t>
        </is>
      </c>
      <c r="D19" s="22" t="inlineStr">
        <is>
          <t>2023-12</t>
        </is>
      </c>
      <c r="E19" s="22" t="inlineStr">
        <is>
          <t>Фіголь Дмитро</t>
        </is>
      </c>
      <c r="F19" s="22" t="inlineStr">
        <is>
          <t>Роз'яснення щодо видалених / об'єднаних прав</t>
        </is>
      </c>
      <c r="G19" s="22" t="inlineStr">
        <is>
          <t>TG [1070]–[1072]</t>
        </is>
      </c>
      <c r="H19" s="25" t="n">
        <v>0.25</v>
      </c>
      <c r="I19" s="22" t="inlineStr">
        <is>
          <t>середня</t>
        </is>
      </c>
      <c r="J19" s="24">
        <f>INDEX(Ставки!$C$2:$C$44,MATCH(D19,Ставки!$A$2:$A$44,0))</f>
        <v/>
      </c>
      <c r="K19" s="24">
        <f>H19*J19</f>
        <v/>
      </c>
      <c r="L19" s="22" t="inlineStr"/>
    </row>
    <row r="20">
      <c r="A20" s="22" t="n">
        <v>19</v>
      </c>
      <c r="B20" s="22" t="inlineStr">
        <is>
          <t>2023-12-05</t>
        </is>
      </c>
      <c r="C20" s="22" t="inlineStr">
        <is>
          <t>2023</t>
        </is>
      </c>
      <c r="D20" s="22" t="inlineStr">
        <is>
          <t>2023-12</t>
        </is>
      </c>
      <c r="E20" s="22" t="inlineStr">
        <is>
          <t>Фіголь Дмитро</t>
        </is>
      </c>
      <c r="F20" s="22" t="inlineStr">
        <is>
          <t>Доступ до відео навчання</t>
        </is>
      </c>
      <c r="G20" s="22" t="inlineStr">
        <is>
          <t>TG [1074]–[1090]</t>
        </is>
      </c>
      <c r="H20" s="25" t="n">
        <v>0.25</v>
      </c>
      <c r="I20" s="22" t="inlineStr">
        <is>
          <t>висока</t>
        </is>
      </c>
      <c r="J20" s="24">
        <f>INDEX(Ставки!$C$2:$C$44,MATCH(D20,Ставки!$A$2:$A$44,0))</f>
        <v/>
      </c>
      <c r="K20" s="24">
        <f>H20*J20</f>
        <v/>
      </c>
      <c r="L20" s="22" t="inlineStr"/>
    </row>
    <row r="21">
      <c r="A21" s="22" t="n">
        <v>20</v>
      </c>
      <c r="B21" s="22" t="inlineStr">
        <is>
          <t>2024-01-23</t>
        </is>
      </c>
      <c r="C21" s="22" t="inlineStr">
        <is>
          <t>2024</t>
        </is>
      </c>
      <c r="D21" s="22" t="inlineStr">
        <is>
          <t>2024-01</t>
        </is>
      </c>
      <c r="E21" s="22" t="inlineStr">
        <is>
          <t>Кутько Ігор</t>
        </is>
      </c>
      <c r="F21" s="22" t="inlineStr">
        <is>
          <t>Оцінка задачі 2921</t>
        </is>
      </c>
      <c r="G21" s="22" t="inlineStr">
        <is>
          <t>Odoo msg 83922</t>
        </is>
      </c>
      <c r="H21" s="25" t="n">
        <v>0.25</v>
      </c>
      <c r="I21" s="22" t="inlineStr">
        <is>
          <t>середня</t>
        </is>
      </c>
      <c r="J21" s="24">
        <f>INDEX(Ставки!$C$2:$C$44,MATCH(D21,Ставки!$A$2:$A$44,0))</f>
        <v/>
      </c>
      <c r="K21" s="24">
        <f>H21*J21</f>
        <v/>
      </c>
      <c r="L21" s="22" t="inlineStr"/>
    </row>
    <row r="22">
      <c r="A22" s="22" t="n">
        <v>21</v>
      </c>
      <c r="B22" s="22" t="inlineStr">
        <is>
          <t>2024-05-16</t>
        </is>
      </c>
      <c r="C22" s="22" t="inlineStr">
        <is>
          <t>2024</t>
        </is>
      </c>
      <c r="D22" s="22" t="inlineStr">
        <is>
          <t>2024-05</t>
        </is>
      </c>
      <c r="E22" s="22" t="inlineStr">
        <is>
          <t>Кутько Ігор</t>
        </is>
      </c>
      <c r="F22" s="22" t="inlineStr">
        <is>
          <t>Копія прод → тест, задача 4193</t>
        </is>
      </c>
      <c r="G22" s="22" t="inlineStr">
        <is>
          <t>Odoo msg 159443, 159579, 159581</t>
        </is>
      </c>
      <c r="H22" s="25" t="n">
        <v>0.5</v>
      </c>
      <c r="I22" s="22" t="inlineStr">
        <is>
          <t>середня</t>
        </is>
      </c>
      <c r="J22" s="24">
        <f>INDEX(Ставки!$C$2:$C$44,MATCH(D22,Ставки!$A$2:$A$44,0))</f>
        <v/>
      </c>
      <c r="K22" s="24">
        <f>H22*J22</f>
        <v/>
      </c>
      <c r="L22" s="22" t="inlineStr"/>
    </row>
    <row r="23">
      <c r="A23" s="22" t="n">
        <v>22</v>
      </c>
      <c r="B23" s="22" t="inlineStr">
        <is>
          <t>2024-06-11</t>
        </is>
      </c>
      <c r="C23" s="22" t="inlineStr">
        <is>
          <t>2024</t>
        </is>
      </c>
      <c r="D23" s="22" t="inlineStr">
        <is>
          <t>2024-06</t>
        </is>
      </c>
      <c r="E23" s="22" t="inlineStr">
        <is>
          <t>Адаменко Олесь</t>
        </is>
      </c>
      <c r="F23" s="22" t="inlineStr">
        <is>
          <t>«Стратегічна сесія» з клієнтом</t>
        </is>
      </c>
      <c r="G23" s="22" t="inlineStr">
        <is>
          <t>календар; у Шаталюка 0,5 год є, в Адаменка немає</t>
        </is>
      </c>
      <c r="H23" s="25" t="n">
        <v>0.5</v>
      </c>
      <c r="I23" s="22" t="inlineStr">
        <is>
          <t>середня</t>
        </is>
      </c>
      <c r="J23" s="24">
        <f>INDEX(Ставки!$C$2:$C$44,MATCH(D23,Ставки!$A$2:$A$44,0))</f>
        <v/>
      </c>
      <c r="K23" s="24">
        <f>H23*J23</f>
        <v/>
      </c>
      <c r="L23" s="22" t="inlineStr"/>
    </row>
    <row r="24">
      <c r="A24" s="22" t="n">
        <v>23</v>
      </c>
      <c r="B24" s="22" t="inlineStr">
        <is>
          <t>2024-07-18</t>
        </is>
      </c>
      <c r="C24" s="22" t="inlineStr">
        <is>
          <t>2024</t>
        </is>
      </c>
      <c r="D24" s="22" t="inlineStr">
        <is>
          <t>2024-07</t>
        </is>
      </c>
      <c r="E24" s="22" t="inlineStr">
        <is>
          <t>Кутько Ігор</t>
        </is>
      </c>
      <c r="F24" s="22" t="inlineStr">
        <is>
          <t>Вивантаження прод → тест, задача 4842</t>
        </is>
      </c>
      <c r="G24" s="22" t="inlineStr">
        <is>
          <t>Odoo msg 303930, 303932, 306300</t>
        </is>
      </c>
      <c r="H24" s="25" t="n">
        <v>0.5</v>
      </c>
      <c r="I24" s="22" t="inlineStr">
        <is>
          <t>середня</t>
        </is>
      </c>
      <c r="J24" s="24">
        <f>INDEX(Ставки!$C$2:$C$44,MATCH(D24,Ставки!$A$2:$A$44,0))</f>
        <v/>
      </c>
      <c r="K24" s="24">
        <f>H24*J24</f>
        <v/>
      </c>
      <c r="L24" s="22" t="inlineStr"/>
    </row>
    <row r="25">
      <c r="A25" s="22" t="n">
        <v>24</v>
      </c>
      <c r="B25" s="22" t="inlineStr">
        <is>
          <t>2024-07-24</t>
        </is>
      </c>
      <c r="C25" s="22" t="inlineStr">
        <is>
          <t>2024</t>
        </is>
      </c>
      <c r="D25" s="22" t="inlineStr">
        <is>
          <t>2024-07</t>
        </is>
      </c>
      <c r="E25" s="22" t="inlineStr">
        <is>
          <t>Адаменко Олесь</t>
        </is>
      </c>
      <c r="F25" s="22" t="inlineStr">
        <is>
          <t>Зустріч з клієнтом</t>
        </is>
      </c>
      <c r="G25" s="22" t="inlineStr">
        <is>
          <t>TG [1450], [1451]; у Шаталюка 0,5 год є</t>
        </is>
      </c>
      <c r="H25" s="25" t="n">
        <v>0.5</v>
      </c>
      <c r="I25" s="22" t="inlineStr">
        <is>
          <t>середня</t>
        </is>
      </c>
      <c r="J25" s="24">
        <f>INDEX(Ставки!$C$2:$C$44,MATCH(D25,Ставки!$A$2:$A$44,0))</f>
        <v/>
      </c>
      <c r="K25" s="24">
        <f>H25*J25</f>
        <v/>
      </c>
      <c r="L25" s="22" t="inlineStr"/>
    </row>
    <row r="26">
      <c r="A26" s="22" t="n">
        <v>25</v>
      </c>
      <c r="B26" s="22" t="inlineStr">
        <is>
          <t>2024-07-29</t>
        </is>
      </c>
      <c r="C26" s="22" t="inlineStr">
        <is>
          <t>2024</t>
        </is>
      </c>
      <c r="D26" s="22" t="inlineStr">
        <is>
          <t>2024-07</t>
        </is>
      </c>
      <c r="E26" s="22" t="inlineStr">
        <is>
          <t>Адаменко Олесь</t>
        </is>
      </c>
      <c r="F26" s="22" t="inlineStr">
        <is>
          <t>Доступ до інструкції з виставлення рахунків</t>
        </is>
      </c>
      <c r="G26" s="22" t="inlineStr">
        <is>
          <t>TG [1460]</t>
        </is>
      </c>
      <c r="H26" s="25" t="n">
        <v>0.25</v>
      </c>
      <c r="I26" s="22" t="inlineStr">
        <is>
          <t>висока</t>
        </is>
      </c>
      <c r="J26" s="24">
        <f>INDEX(Ставки!$C$2:$C$44,MATCH(D26,Ставки!$A$2:$A$44,0))</f>
        <v/>
      </c>
      <c r="K26" s="24">
        <f>H26*J26</f>
        <v/>
      </c>
      <c r="L26" s="22" t="inlineStr"/>
    </row>
    <row r="27">
      <c r="A27" s="22" t="n">
        <v>26</v>
      </c>
      <c r="B27" s="22" t="inlineStr">
        <is>
          <t>2024-11-15</t>
        </is>
      </c>
      <c r="C27" s="22" t="inlineStr">
        <is>
          <t>2024</t>
        </is>
      </c>
      <c r="D27" s="22" t="inlineStr">
        <is>
          <t>2024-11</t>
        </is>
      </c>
      <c r="E27" s="22" t="inlineStr">
        <is>
          <t>Адаменко Олесь</t>
        </is>
      </c>
      <c r="F27" s="22" t="inlineStr">
        <is>
          <t>Статусна зустріч + протокол і документ «Питання по упр обліку»</t>
        </is>
      </c>
      <c r="G27" s="22" t="inlineStr">
        <is>
          <t>Drive «Протокол зустрічі LuxSite - 15.11.2024»</t>
        </is>
      </c>
      <c r="H27" s="25" t="n">
        <v>1</v>
      </c>
      <c r="I27" s="22" t="inlineStr">
        <is>
          <t>висока</t>
        </is>
      </c>
      <c r="J27" s="24">
        <f>INDEX(Ставки!$C$2:$C$44,MATCH(D27,Ставки!$A$2:$A$44,0))</f>
        <v/>
      </c>
      <c r="K27" s="24">
        <f>H27*J27</f>
        <v/>
      </c>
      <c r="L27" s="22" t="inlineStr">
        <is>
          <t>у Адаменка немає рядків 13–25.11.2024</t>
        </is>
      </c>
    </row>
    <row r="28">
      <c r="A28" s="22" t="n">
        <v>27</v>
      </c>
      <c r="B28" s="22" t="inlineStr">
        <is>
          <t>2024-11-18</t>
        </is>
      </c>
      <c r="C28" s="22" t="inlineStr">
        <is>
          <t>2024</t>
        </is>
      </c>
      <c r="D28" s="22" t="inlineStr">
        <is>
          <t>2024-11</t>
        </is>
      </c>
      <c r="E28" s="22" t="inlineStr">
        <is>
          <t>Адаменко Олесь</t>
        </is>
      </c>
      <c r="F28" s="22" t="inlineStr">
        <is>
          <t>Перепроведення відпусток після зміни базових прав</t>
        </is>
      </c>
      <c r="G28" s="22" t="inlineStr">
        <is>
          <t>TG [1659]–[1663], [1719]</t>
        </is>
      </c>
      <c r="H28" s="25" t="n">
        <v>0.5</v>
      </c>
      <c r="I28" s="22" t="inlineStr">
        <is>
          <t>середня</t>
        </is>
      </c>
      <c r="J28" s="24">
        <f>INDEX(Ставки!$C$2:$C$44,MATCH(D28,Ставки!$A$2:$A$44,0))</f>
        <v/>
      </c>
      <c r="K28" s="24">
        <f>H28*J28</f>
        <v/>
      </c>
      <c r="L28" s="22" t="inlineStr"/>
    </row>
    <row r="29">
      <c r="A29" s="22" t="n">
        <v>28</v>
      </c>
      <c r="B29" s="22" t="inlineStr">
        <is>
          <t>2025-03-10</t>
        </is>
      </c>
      <c r="C29" s="22" t="inlineStr">
        <is>
          <t>2025</t>
        </is>
      </c>
      <c r="D29" s="22" t="inlineStr">
        <is>
          <t>2025-03</t>
        </is>
      </c>
      <c r="E29" s="22" t="inlineStr">
        <is>
          <t>Адаменко Олесь</t>
        </is>
      </c>
      <c r="F29" s="22" t="inlineStr">
        <is>
          <t>Інструкція масової зміни стадії задач (10–11.03)</t>
        </is>
      </c>
      <c r="G29" s="22" t="inlineStr">
        <is>
          <t>TG [2012]–[2020], [2055]–[2056]</t>
        </is>
      </c>
      <c r="H29" s="25" t="n">
        <v>0.5</v>
      </c>
      <c r="I29" s="22" t="inlineStr">
        <is>
          <t>висока</t>
        </is>
      </c>
      <c r="J29" s="24">
        <f>INDEX(Ставки!$C$2:$C$44,MATCH(D29,Ставки!$A$2:$A$44,0))</f>
        <v/>
      </c>
      <c r="K29" s="24">
        <f>H29*J29</f>
        <v/>
      </c>
      <c r="L29" s="22" t="inlineStr"/>
    </row>
    <row r="30">
      <c r="A30" s="22" t="n">
        <v>29</v>
      </c>
      <c r="B30" s="22" t="inlineStr">
        <is>
          <t>2025-03-13</t>
        </is>
      </c>
      <c r="C30" s="22" t="inlineStr">
        <is>
          <t>2025</t>
        </is>
      </c>
      <c r="D30" s="22" t="inlineStr">
        <is>
          <t>2025-03</t>
        </is>
      </c>
      <c r="E30" s="22" t="inlineStr">
        <is>
          <t>Адаменко Олесь</t>
        </is>
      </c>
      <c r="F30" s="22" t="inlineStr">
        <is>
          <t>Консультація: логіка лід → контакт → КП</t>
        </is>
      </c>
      <c r="G30" s="22" t="inlineStr">
        <is>
          <t>TG [2095]–[2096]</t>
        </is>
      </c>
      <c r="H30" s="25" t="n">
        <v>0.5</v>
      </c>
      <c r="I30" s="22" t="inlineStr">
        <is>
          <t>висока</t>
        </is>
      </c>
      <c r="J30" s="24">
        <f>INDEX(Ставки!$C$2:$C$44,MATCH(D30,Ставки!$A$2:$A$44,0))</f>
        <v/>
      </c>
      <c r="K30" s="24">
        <f>H30*J30</f>
        <v/>
      </c>
      <c r="L30" s="22" t="inlineStr"/>
    </row>
    <row r="31">
      <c r="A31" s="22" t="n">
        <v>30</v>
      </c>
      <c r="B31" s="22" t="inlineStr">
        <is>
          <t>2025-03-27</t>
        </is>
      </c>
      <c r="C31" s="22" t="inlineStr">
        <is>
          <t>2025</t>
        </is>
      </c>
      <c r="D31" s="22" t="inlineStr">
        <is>
          <t>2025-03</t>
        </is>
      </c>
      <c r="E31" s="22" t="inlineStr">
        <is>
          <t>Драгунов Сергій</t>
        </is>
      </c>
      <c r="F31" s="22" t="inlineStr">
        <is>
          <t>Розширено права на рахунки для користувача</t>
        </is>
      </c>
      <c r="G31" s="22" t="inlineStr">
        <is>
          <t>TG [2160]</t>
        </is>
      </c>
      <c r="H31" s="25" t="n">
        <v>0.25</v>
      </c>
      <c r="I31" s="22" t="inlineStr">
        <is>
          <t>висока</t>
        </is>
      </c>
      <c r="J31" s="24">
        <f>INDEX(Ставки!$C$2:$C$44,MATCH(D31,Ставки!$A$2:$A$44,0))</f>
        <v/>
      </c>
      <c r="K31" s="24">
        <f>H31*J31</f>
        <v/>
      </c>
      <c r="L31" s="22" t="inlineStr"/>
    </row>
    <row r="32">
      <c r="A32" s="22" t="n">
        <v>31</v>
      </c>
      <c r="B32" s="22" t="inlineStr">
        <is>
          <t>2025-04-30</t>
        </is>
      </c>
      <c r="C32" s="22" t="inlineStr">
        <is>
          <t>2025</t>
        </is>
      </c>
      <c r="D32" s="22" t="inlineStr">
        <is>
          <t>2025-04</t>
        </is>
      </c>
      <c r="E32" s="22" t="inlineStr">
        <is>
          <t>Кутько Ігор</t>
        </is>
      </c>
      <c r="F32" s="22" t="inlineStr">
        <is>
          <t>Оновлення проду, задача 9200</t>
        </is>
      </c>
      <c r="G32" s="22" t="inlineStr">
        <is>
          <t>Odoo msg 587548</t>
        </is>
      </c>
      <c r="H32" s="25" t="n">
        <v>0.25</v>
      </c>
      <c r="I32" s="22" t="inlineStr">
        <is>
          <t>висока</t>
        </is>
      </c>
      <c r="J32" s="24">
        <f>INDEX(Ставки!$C$2:$C$44,MATCH(D32,Ставки!$A$2:$A$44,0))</f>
        <v/>
      </c>
      <c r="K32" s="24">
        <f>H32*J32</f>
        <v/>
      </c>
      <c r="L32" s="22" t="inlineStr"/>
    </row>
    <row r="33">
      <c r="A33" s="22" t="n">
        <v>32</v>
      </c>
      <c r="B33" s="22" t="inlineStr">
        <is>
          <t>2025-05-07</t>
        </is>
      </c>
      <c r="C33" s="22" t="inlineStr">
        <is>
          <t>2025</t>
        </is>
      </c>
      <c r="D33" s="22" t="inlineStr">
        <is>
          <t>2025-05</t>
        </is>
      </c>
      <c r="E33" s="22" t="inlineStr">
        <is>
          <t>Кутько Ігор</t>
        </is>
      </c>
      <c r="F33" s="22" t="inlineStr">
        <is>
          <t>Оновлення тесту, задача 9543</t>
        </is>
      </c>
      <c r="G33" s="22" t="inlineStr">
        <is>
          <t>Odoo msg 593523</t>
        </is>
      </c>
      <c r="H33" s="25" t="n">
        <v>0.25</v>
      </c>
      <c r="I33" s="22" t="inlineStr">
        <is>
          <t>висока</t>
        </is>
      </c>
      <c r="J33" s="24">
        <f>INDEX(Ставки!$C$2:$C$44,MATCH(D33,Ставки!$A$2:$A$44,0))</f>
        <v/>
      </c>
      <c r="K33" s="24">
        <f>H33*J33</f>
        <v/>
      </c>
      <c r="L33" s="22" t="inlineStr"/>
    </row>
    <row r="34">
      <c r="A34" s="22" t="n">
        <v>33</v>
      </c>
      <c r="B34" s="22" t="inlineStr">
        <is>
          <t>2025-05-15</t>
        </is>
      </c>
      <c r="C34" s="22" t="inlineStr">
        <is>
          <t>2025</t>
        </is>
      </c>
      <c r="D34" s="22" t="inlineStr">
        <is>
          <t>2025-05</t>
        </is>
      </c>
      <c r="E34" s="22" t="inlineStr">
        <is>
          <t>Кутько Ігор</t>
        </is>
      </c>
      <c r="F34" s="22" t="inlineStr">
        <is>
          <t>Два оновлення проду, задачі 9982 і 9976</t>
        </is>
      </c>
      <c r="G34" s="22" t="inlineStr">
        <is>
          <t>Odoo msg 598671, 598840</t>
        </is>
      </c>
      <c r="H34" s="25" t="n">
        <v>0.5</v>
      </c>
      <c r="I34" s="22" t="inlineStr">
        <is>
          <t>висока</t>
        </is>
      </c>
      <c r="J34" s="24">
        <f>INDEX(Ставки!$C$2:$C$44,MATCH(D34,Ставки!$A$2:$A$44,0))</f>
        <v/>
      </c>
      <c r="K34" s="24">
        <f>H34*J34</f>
        <v/>
      </c>
      <c r="L34" s="22" t="inlineStr"/>
    </row>
    <row r="35">
      <c r="A35" s="22" t="n">
        <v>34</v>
      </c>
      <c r="B35" s="22" t="inlineStr">
        <is>
          <t>2025-05-20</t>
        </is>
      </c>
      <c r="C35" s="22" t="inlineStr">
        <is>
          <t>2025</t>
        </is>
      </c>
      <c r="D35" s="22" t="inlineStr">
        <is>
          <t>2025-05</t>
        </is>
      </c>
      <c r="E35" s="22" t="inlineStr">
        <is>
          <t>Кутько Ігор</t>
        </is>
      </c>
      <c r="F35" s="22" t="inlineStr">
        <is>
          <t>Оновлення проду, задача 9977</t>
        </is>
      </c>
      <c r="G35" s="22" t="inlineStr">
        <is>
          <t>Odoo msg 601523</t>
        </is>
      </c>
      <c r="H35" s="25" t="n">
        <v>0.25</v>
      </c>
      <c r="I35" s="22" t="inlineStr">
        <is>
          <t>висока</t>
        </is>
      </c>
      <c r="J35" s="24">
        <f>INDEX(Ставки!$C$2:$C$44,MATCH(D35,Ставки!$A$2:$A$44,0))</f>
        <v/>
      </c>
      <c r="K35" s="24">
        <f>H35*J35</f>
        <v/>
      </c>
      <c r="L35" s="22" t="inlineStr"/>
    </row>
    <row r="36">
      <c r="A36" s="22" t="n">
        <v>35</v>
      </c>
      <c r="B36" s="22" t="inlineStr">
        <is>
          <t>2025-06-09</t>
        </is>
      </c>
      <c r="C36" s="22" t="inlineStr">
        <is>
          <t>2025</t>
        </is>
      </c>
      <c r="D36" s="22" t="inlineStr">
        <is>
          <t>2025-06</t>
        </is>
      </c>
      <c r="E36" s="22" t="inlineStr">
        <is>
          <t>Драгунов Сергій</t>
        </is>
      </c>
      <c r="F36" s="22" t="inlineStr">
        <is>
          <t>Консультація: витрати ЗП у проєктах, звіт маржі</t>
        </is>
      </c>
      <c r="G36" s="22" t="inlineStr">
        <is>
          <t>TG [2430]–[2434]</t>
        </is>
      </c>
      <c r="H36" s="25" t="n">
        <v>0.5</v>
      </c>
      <c r="I36" s="22" t="inlineStr">
        <is>
          <t>висока</t>
        </is>
      </c>
      <c r="J36" s="24">
        <f>INDEX(Ставки!$C$2:$C$44,MATCH(D36,Ставки!$A$2:$A$44,0))</f>
        <v/>
      </c>
      <c r="K36" s="24">
        <f>H36*J36</f>
        <v/>
      </c>
      <c r="L36" s="22" t="inlineStr"/>
    </row>
    <row r="37">
      <c r="A37" s="22" t="n">
        <v>36</v>
      </c>
      <c r="B37" s="22" t="inlineStr">
        <is>
          <t>2025-06-24</t>
        </is>
      </c>
      <c r="C37" s="22" t="inlineStr">
        <is>
          <t>2025</t>
        </is>
      </c>
      <c r="D37" s="22" t="inlineStr">
        <is>
          <t>2025-06</t>
        </is>
      </c>
      <c r="E37" s="22" t="inlineStr">
        <is>
          <t>Драгунов Сергій</t>
        </is>
      </c>
      <c r="F37" s="22" t="inlineStr">
        <is>
          <t>Пояснення: меню видно лише в режимі розробника</t>
        </is>
      </c>
      <c r="G37" s="22" t="inlineStr">
        <is>
          <t>TG [2492]</t>
        </is>
      </c>
      <c r="H37" s="25" t="n">
        <v>0.25</v>
      </c>
      <c r="I37" s="22" t="inlineStr">
        <is>
          <t>висока</t>
        </is>
      </c>
      <c r="J37" s="24">
        <f>INDEX(Ставки!$C$2:$C$44,MATCH(D37,Ставки!$A$2:$A$44,0))</f>
        <v/>
      </c>
      <c r="K37" s="24">
        <f>H37*J37</f>
        <v/>
      </c>
      <c r="L37" s="22" t="inlineStr"/>
    </row>
    <row r="38">
      <c r="A38" s="22" t="n">
        <v>37</v>
      </c>
      <c r="B38" s="22" t="inlineStr">
        <is>
          <t>2025-06-30</t>
        </is>
      </c>
      <c r="C38" s="22" t="inlineStr">
        <is>
          <t>2025</t>
        </is>
      </c>
      <c r="D38" s="22" t="inlineStr">
        <is>
          <t>2025-06</t>
        </is>
      </c>
      <c r="E38" s="22" t="inlineStr">
        <is>
          <t>Скабіцька</t>
        </is>
      </c>
      <c r="F38" s="22" t="inlineStr">
        <is>
          <t>Зустріч з клієнтом (Адаменко і Грицюк записали по 0,5 год)</t>
        </is>
      </c>
      <c r="G38" s="22" t="inlineStr">
        <is>
          <t>календар 4692872, TG [2506]</t>
        </is>
      </c>
      <c r="H38" s="25" t="n">
        <v>0.5</v>
      </c>
      <c r="I38" s="22" t="inlineStr">
        <is>
          <t>середня</t>
        </is>
      </c>
      <c r="J38" s="24">
        <f>INDEX(Ставки!$C$2:$C$44,MATCH(D38,Ставки!$A$2:$A$44,0))</f>
        <v/>
      </c>
      <c r="K38" s="24">
        <f>H38*J38</f>
        <v/>
      </c>
      <c r="L38" s="22" t="inlineStr"/>
    </row>
    <row r="39">
      <c r="A39" s="22" t="n">
        <v>38</v>
      </c>
      <c r="B39" s="22" t="inlineStr">
        <is>
          <t>2025-07-07</t>
        </is>
      </c>
      <c r="C39" s="22" t="inlineStr">
        <is>
          <t>2025</t>
        </is>
      </c>
      <c r="D39" s="22" t="inlineStr">
        <is>
          <t>2025-07</t>
        </is>
      </c>
      <c r="E39" s="22" t="inlineStr">
        <is>
          <t>Волохов Максим</t>
        </is>
      </c>
      <c r="F39" s="22" t="inlineStr">
        <is>
          <t>Пояснення причини зникнення сповіщень</t>
        </is>
      </c>
      <c r="G39" s="22" t="inlineStr">
        <is>
          <t>TG [2539]</t>
        </is>
      </c>
      <c r="H39" s="25" t="n">
        <v>0.25</v>
      </c>
      <c r="I39" s="22" t="inlineStr">
        <is>
          <t>висока</t>
        </is>
      </c>
      <c r="J39" s="24">
        <f>INDEX(Ставки!$C$2:$C$44,MATCH(D39,Ставки!$A$2:$A$44,0))</f>
        <v/>
      </c>
      <c r="K39" s="24">
        <f>H39*J39</f>
        <v/>
      </c>
      <c r="L39" s="22" t="inlineStr"/>
    </row>
    <row r="40">
      <c r="A40" s="22" t="n">
        <v>39</v>
      </c>
      <c r="B40" s="22" t="inlineStr">
        <is>
          <t>2025-07-09</t>
        </is>
      </c>
      <c r="C40" s="22" t="inlineStr">
        <is>
          <t>2025</t>
        </is>
      </c>
      <c r="D40" s="22" t="inlineStr">
        <is>
          <t>2025-07</t>
        </is>
      </c>
      <c r="E40" s="22" t="inlineStr">
        <is>
          <t>Скабіцька</t>
        </is>
      </c>
      <c r="F40" s="22" t="inlineStr">
        <is>
          <t>Статусна зустріч</t>
        </is>
      </c>
      <c r="G40" s="22" t="inlineStr">
        <is>
          <t>календар 4697244, TG [2541]–[2544]</t>
        </is>
      </c>
      <c r="H40" s="25" t="n">
        <v>0.5</v>
      </c>
      <c r="I40" s="22" t="inlineStr">
        <is>
          <t>середня</t>
        </is>
      </c>
      <c r="J40" s="24">
        <f>INDEX(Ставки!$C$2:$C$44,MATCH(D40,Ставки!$A$2:$A$44,0))</f>
        <v/>
      </c>
      <c r="K40" s="24">
        <f>H40*J40</f>
        <v/>
      </c>
      <c r="L40" s="22" t="inlineStr"/>
    </row>
    <row r="41">
      <c r="A41" s="22" t="n">
        <v>40</v>
      </c>
      <c r="B41" s="22" t="inlineStr">
        <is>
          <t>2025-07-17</t>
        </is>
      </c>
      <c r="C41" s="22" t="inlineStr">
        <is>
          <t>2025</t>
        </is>
      </c>
      <c r="D41" s="22" t="inlineStr">
        <is>
          <t>2025-07</t>
        </is>
      </c>
      <c r="E41" s="22" t="inlineStr">
        <is>
          <t>Волохов Максим</t>
        </is>
      </c>
      <c r="F41" s="22" t="inlineStr">
        <is>
          <t>Консультація: видалення повідомлення в чаттері</t>
        </is>
      </c>
      <c r="G41" s="22" t="inlineStr">
        <is>
          <t>TG [2552]</t>
        </is>
      </c>
      <c r="H41" s="25" t="n">
        <v>0.25</v>
      </c>
      <c r="I41" s="22" t="inlineStr">
        <is>
          <t>висока</t>
        </is>
      </c>
      <c r="J41" s="24">
        <f>INDEX(Ставки!$C$2:$C$44,MATCH(D41,Ставки!$A$2:$A$44,0))</f>
        <v/>
      </c>
      <c r="K41" s="24">
        <f>H41*J41</f>
        <v/>
      </c>
      <c r="L41" s="22" t="inlineStr"/>
    </row>
    <row r="42">
      <c r="A42" s="22" t="n">
        <v>41</v>
      </c>
      <c r="B42" s="22" t="inlineStr">
        <is>
          <t>2025-07-23</t>
        </is>
      </c>
      <c r="C42" s="22" t="inlineStr">
        <is>
          <t>2025</t>
        </is>
      </c>
      <c r="D42" s="22" t="inlineStr">
        <is>
          <t>2025-07</t>
        </is>
      </c>
      <c r="E42" s="22" t="inlineStr">
        <is>
          <t>Адаменко Олесь</t>
        </is>
      </c>
      <c r="F42" s="22" t="inlineStr">
        <is>
          <t>Дві консультації: облік годин у задачах, закриття задач</t>
        </is>
      </c>
      <c r="G42" s="22" t="inlineStr">
        <is>
          <t>TG [2568], [2571]–[2572]</t>
        </is>
      </c>
      <c r="H42" s="25" t="n">
        <v>0.5</v>
      </c>
      <c r="I42" s="22" t="inlineStr">
        <is>
          <t>висока</t>
        </is>
      </c>
      <c r="J42" s="24">
        <f>INDEX(Ставки!$C$2:$C$44,MATCH(D42,Ставки!$A$2:$A$44,0))</f>
        <v/>
      </c>
      <c r="K42" s="24">
        <f>H42*J42</f>
        <v/>
      </c>
      <c r="L42" s="22" t="inlineStr"/>
    </row>
    <row r="43">
      <c r="A43" s="22" t="n">
        <v>42</v>
      </c>
      <c r="B43" s="22" t="inlineStr">
        <is>
          <t>2025-08-04</t>
        </is>
      </c>
      <c r="C43" s="22" t="inlineStr">
        <is>
          <t>2025</t>
        </is>
      </c>
      <c r="D43" s="22" t="inlineStr">
        <is>
          <t>2025-08</t>
        </is>
      </c>
      <c r="E43" s="22" t="inlineStr">
        <is>
          <t>Менеджер (видалений акаунт)</t>
        </is>
      </c>
      <c r="F43" s="22" t="inlineStr">
        <is>
          <t>Звіт за липень у папку «Звіти» + оцінка задачі</t>
        </is>
      </c>
      <c r="G43" s="22" t="inlineStr">
        <is>
          <t>TG [2573]</t>
        </is>
      </c>
      <c r="H43" s="25" t="n">
        <v>0.5</v>
      </c>
      <c r="I43" s="22" t="inlineStr">
        <is>
          <t>низька</t>
        </is>
      </c>
      <c r="J43" s="24">
        <f>INDEX(Ставки!$C$2:$C$44,MATCH(D43,Ставки!$A$2:$A$44,0))</f>
        <v/>
      </c>
      <c r="K43" s="24">
        <f>H43*J43</f>
        <v/>
      </c>
      <c r="L43" s="22" t="inlineStr"/>
    </row>
    <row r="44">
      <c r="A44" s="22" t="n">
        <v>43</v>
      </c>
      <c r="B44" s="22" t="inlineStr">
        <is>
          <t>2025-08-26</t>
        </is>
      </c>
      <c r="C44" s="22" t="inlineStr">
        <is>
          <t>2025</t>
        </is>
      </c>
      <c r="D44" s="22" t="inlineStr">
        <is>
          <t>2025-08</t>
        </is>
      </c>
      <c r="E44" s="22" t="inlineStr">
        <is>
          <t>Драгунов Сергій</t>
        </is>
      </c>
      <c r="F44" s="22" t="inlineStr">
        <is>
          <t>Консультація: перейменування аналітичного рахунку</t>
        </is>
      </c>
      <c r="G44" s="22" t="inlineStr">
        <is>
          <t>TG [2581]</t>
        </is>
      </c>
      <c r="H44" s="25" t="n">
        <v>0.25</v>
      </c>
      <c r="I44" s="22" t="inlineStr">
        <is>
          <t>висока</t>
        </is>
      </c>
      <c r="J44" s="24">
        <f>INDEX(Ставки!$C$2:$C$44,MATCH(D44,Ставки!$A$2:$A$44,0))</f>
        <v/>
      </c>
      <c r="K44" s="24">
        <f>H44*J44</f>
        <v/>
      </c>
      <c r="L44" s="22" t="inlineStr"/>
    </row>
    <row r="45">
      <c r="A45" s="22" t="n">
        <v>44</v>
      </c>
      <c r="B45" s="22" t="inlineStr">
        <is>
          <t>2025-09-24</t>
        </is>
      </c>
      <c r="C45" s="22" t="inlineStr">
        <is>
          <t>2025</t>
        </is>
      </c>
      <c r="D45" s="22" t="inlineStr">
        <is>
          <t>2025-09</t>
        </is>
      </c>
      <c r="E45" s="22" t="inlineStr">
        <is>
          <t>Драгунов Сергій</t>
        </is>
      </c>
      <c r="F45" s="22" t="inlineStr">
        <is>
          <t>Інструкція зі скриншотами: перейменування аналітичного рахунку</t>
        </is>
      </c>
      <c r="G45" s="22" t="inlineStr">
        <is>
          <t>TG [2590]–[2591]</t>
        </is>
      </c>
      <c r="H45" s="25" t="n">
        <v>0.25</v>
      </c>
      <c r="I45" s="22" t="inlineStr">
        <is>
          <t>висока</t>
        </is>
      </c>
      <c r="J45" s="24">
        <f>INDEX(Ставки!$C$2:$C$44,MATCH(D45,Ставки!$A$2:$A$44,0))</f>
        <v/>
      </c>
      <c r="K45" s="24">
        <f>H45*J45</f>
        <v/>
      </c>
      <c r="L45" s="22" t="inlineStr"/>
    </row>
    <row r="46">
      <c r="A46" s="22" t="n">
        <v>45</v>
      </c>
      <c r="B46" s="22" t="inlineStr">
        <is>
          <t>2025-10-01</t>
        </is>
      </c>
      <c r="C46" s="22" t="inlineStr">
        <is>
          <t>2025</t>
        </is>
      </c>
      <c r="D46" s="22" t="inlineStr">
        <is>
          <t>2025-10</t>
        </is>
      </c>
      <c r="E46" s="22" t="inlineStr">
        <is>
          <t>Драгунов Сергій</t>
        </is>
      </c>
      <c r="F46" s="22" t="inlineStr">
        <is>
          <t>Консультація щодо амортизації</t>
        </is>
      </c>
      <c r="G46" s="22" t="inlineStr">
        <is>
          <t>TG [2595]</t>
        </is>
      </c>
      <c r="H46" s="25" t="n">
        <v>0.25</v>
      </c>
      <c r="I46" s="22" t="inlineStr">
        <is>
          <t>висока</t>
        </is>
      </c>
      <c r="J46" s="24">
        <f>INDEX(Ставки!$C$2:$C$44,MATCH(D46,Ставки!$A$2:$A$44,0))</f>
        <v/>
      </c>
      <c r="K46" s="24">
        <f>H46*J46</f>
        <v/>
      </c>
      <c r="L46" s="22" t="inlineStr"/>
    </row>
    <row r="47">
      <c r="A47" s="22" t="n">
        <v>46</v>
      </c>
      <c r="B47" s="22" t="inlineStr">
        <is>
          <t>2025-10-07</t>
        </is>
      </c>
      <c r="C47" s="22" t="inlineStr">
        <is>
          <t>2025</t>
        </is>
      </c>
      <c r="D47" s="22" t="inlineStr">
        <is>
          <t>2025-10</t>
        </is>
      </c>
      <c r="E47" s="22" t="inlineStr">
        <is>
          <t>Анна (менеджер)</t>
        </is>
      </c>
      <c r="F47" s="22" t="inlineStr">
        <is>
          <t>Оцінка робіт і вартості модулів банківських виписок</t>
        </is>
      </c>
      <c r="G47" s="22" t="inlineStr">
        <is>
          <t>TG [2604]–[2628]</t>
        </is>
      </c>
      <c r="H47" s="25" t="n">
        <v>0.75</v>
      </c>
      <c r="I47" s="22" t="inlineStr">
        <is>
          <t>середня</t>
        </is>
      </c>
      <c r="J47" s="24">
        <f>INDEX(Ставки!$C$2:$C$44,MATCH(D47,Ставки!$A$2:$A$44,0))</f>
        <v/>
      </c>
      <c r="K47" s="24">
        <f>H47*J47</f>
        <v/>
      </c>
      <c r="L47" s="22" t="inlineStr"/>
    </row>
    <row r="48">
      <c r="A48" s="22" t="n">
        <v>47</v>
      </c>
      <c r="B48" s="22" t="inlineStr">
        <is>
          <t>2025-10-07</t>
        </is>
      </c>
      <c r="C48" s="22" t="inlineStr">
        <is>
          <t>2025</t>
        </is>
      </c>
      <c r="D48" s="22" t="inlineStr">
        <is>
          <t>2025-10</t>
        </is>
      </c>
      <c r="E48" s="22" t="inlineStr">
        <is>
          <t>Драгунов Сергій</t>
        </is>
      </c>
      <c r="F48" s="22" t="inlineStr">
        <is>
          <t>Консультація: модулі Mono / Райф / ПУМБ</t>
        </is>
      </c>
      <c r="G48" s="22" t="inlineStr">
        <is>
          <t>TG [2610], [2616]–[2619]</t>
        </is>
      </c>
      <c r="H48" s="25" t="n">
        <v>0.5</v>
      </c>
      <c r="I48" s="22" t="inlineStr">
        <is>
          <t>середня</t>
        </is>
      </c>
      <c r="J48" s="24">
        <f>INDEX(Ставки!$C$2:$C$44,MATCH(D48,Ставки!$A$2:$A$44,0))</f>
        <v/>
      </c>
      <c r="K48" s="24">
        <f>H48*J48</f>
        <v/>
      </c>
      <c r="L48" s="22" t="inlineStr"/>
    </row>
    <row r="49">
      <c r="A49" s="22" t="n">
        <v>48</v>
      </c>
      <c r="B49" s="22" t="inlineStr">
        <is>
          <t>2025-10-08</t>
        </is>
      </c>
      <c r="C49" s="22" t="inlineStr">
        <is>
          <t>2025</t>
        </is>
      </c>
      <c r="D49" s="22" t="inlineStr">
        <is>
          <t>2025-10</t>
        </is>
      </c>
      <c r="E49" s="22" t="inlineStr">
        <is>
          <t>Драгунов Сергій</t>
        </is>
      </c>
      <c r="F49" s="22" t="inlineStr">
        <is>
          <t>Виправлено документ</t>
        </is>
      </c>
      <c r="G49" s="22" t="inlineStr">
        <is>
          <t>TG [2634]–[2638]</t>
        </is>
      </c>
      <c r="H49" s="25" t="n">
        <v>0.25</v>
      </c>
      <c r="I49" s="22" t="inlineStr">
        <is>
          <t>середня</t>
        </is>
      </c>
      <c r="J49" s="24">
        <f>INDEX(Ставки!$C$2:$C$44,MATCH(D49,Ставки!$A$2:$A$44,0))</f>
        <v/>
      </c>
      <c r="K49" s="24">
        <f>H49*J49</f>
        <v/>
      </c>
      <c r="L49" s="22" t="inlineStr"/>
    </row>
    <row r="50">
      <c r="A50" s="22" t="n">
        <v>49</v>
      </c>
      <c r="B50" s="22" t="inlineStr">
        <is>
          <t>2025-10-22</t>
        </is>
      </c>
      <c r="C50" s="22" t="inlineStr">
        <is>
          <t>2025</t>
        </is>
      </c>
      <c r="D50" s="22" t="inlineStr">
        <is>
          <t>2025-10</t>
        </is>
      </c>
      <c r="E50" s="22" t="inlineStr">
        <is>
          <t>Кутько Ігор</t>
        </is>
      </c>
      <c r="F50" s="22" t="inlineStr">
        <is>
          <t>Оновлення проду, задача 12107</t>
        </is>
      </c>
      <c r="G50" s="22" t="inlineStr">
        <is>
          <t>Odoo msg 712202</t>
        </is>
      </c>
      <c r="H50" s="25" t="n">
        <v>0.25</v>
      </c>
      <c r="I50" s="22" t="inlineStr">
        <is>
          <t>висока</t>
        </is>
      </c>
      <c r="J50" s="24">
        <f>INDEX(Ставки!$C$2:$C$44,MATCH(D50,Ставки!$A$2:$A$44,0))</f>
        <v/>
      </c>
      <c r="K50" s="24">
        <f>H50*J50</f>
        <v/>
      </c>
      <c r="L50" s="22" t="inlineStr"/>
    </row>
    <row r="51">
      <c r="A51" s="22" t="n">
        <v>50</v>
      </c>
      <c r="B51" s="22" t="inlineStr">
        <is>
          <t>2025-10-24</t>
        </is>
      </c>
      <c r="C51" s="22" t="inlineStr">
        <is>
          <t>2025</t>
        </is>
      </c>
      <c r="D51" s="22" t="inlineStr">
        <is>
          <t>2025-10</t>
        </is>
      </c>
      <c r="E51" s="22" t="inlineStr">
        <is>
          <t>Драгунов Сергій</t>
        </is>
      </c>
      <c r="F51" s="22" t="inlineStr">
        <is>
          <t>Виправлено помилку (traceback)</t>
        </is>
      </c>
      <c r="G51" s="22" t="inlineStr">
        <is>
          <t>TG [2695]</t>
        </is>
      </c>
      <c r="H51" s="25" t="n">
        <v>0.5</v>
      </c>
      <c r="I51" s="22" t="inlineStr">
        <is>
          <t>середня</t>
        </is>
      </c>
      <c r="J51" s="24">
        <f>INDEX(Ставки!$C$2:$C$44,MATCH(D51,Ставки!$A$2:$A$44,0))</f>
        <v/>
      </c>
      <c r="K51" s="24">
        <f>H51*J51</f>
        <v/>
      </c>
      <c r="L51" s="22" t="inlineStr"/>
    </row>
    <row r="52">
      <c r="A52" s="22" t="n">
        <v>51</v>
      </c>
      <c r="B52" s="22" t="inlineStr">
        <is>
          <t>2025-10-28</t>
        </is>
      </c>
      <c r="C52" s="22" t="inlineStr">
        <is>
          <t>2025</t>
        </is>
      </c>
      <c r="D52" s="22" t="inlineStr">
        <is>
          <t>2025-10</t>
        </is>
      </c>
      <c r="E52" s="22" t="inlineStr">
        <is>
          <t>Драгунов Сергій</t>
        </is>
      </c>
      <c r="F52" s="22" t="inlineStr">
        <is>
          <t>Виправлено залишки по рахунках за списком клієнта</t>
        </is>
      </c>
      <c r="G52" s="22" t="inlineStr">
        <is>
          <t>TG [2699]–[2705]</t>
        </is>
      </c>
      <c r="H52" s="25" t="n">
        <v>0.25</v>
      </c>
      <c r="I52" s="22" t="inlineStr">
        <is>
          <t>середня</t>
        </is>
      </c>
      <c r="J52" s="24">
        <f>INDEX(Ставки!$C$2:$C$44,MATCH(D52,Ставки!$A$2:$A$44,0))</f>
        <v/>
      </c>
      <c r="K52" s="24">
        <f>H52*J52</f>
        <v/>
      </c>
      <c r="L52" s="22" t="inlineStr"/>
    </row>
    <row r="53">
      <c r="A53" s="22" t="n">
        <v>52</v>
      </c>
      <c r="B53" s="22" t="inlineStr">
        <is>
          <t>2025-11-04</t>
        </is>
      </c>
      <c r="C53" s="22" t="inlineStr">
        <is>
          <t>2025</t>
        </is>
      </c>
      <c r="D53" s="22" t="inlineStr">
        <is>
          <t>2025-11</t>
        </is>
      </c>
      <c r="E53" s="22" t="inlineStr">
        <is>
          <t>Волохов Максим</t>
        </is>
      </c>
      <c r="F53" s="22" t="inlineStr">
        <is>
          <t>Доступ до навчальних матеріалів</t>
        </is>
      </c>
      <c r="G53" s="22" t="inlineStr">
        <is>
          <t>TG [2726]</t>
        </is>
      </c>
      <c r="H53" s="25" t="n">
        <v>0.25</v>
      </c>
      <c r="I53" s="22" t="inlineStr">
        <is>
          <t>висока</t>
        </is>
      </c>
      <c r="J53" s="24">
        <f>INDEX(Ставки!$C$2:$C$44,MATCH(D53,Ставки!$A$2:$A$44,0))</f>
        <v/>
      </c>
      <c r="K53" s="24">
        <f>H53*J53</f>
        <v/>
      </c>
      <c r="L53" s="22" t="inlineStr"/>
    </row>
    <row r="54">
      <c r="A54" s="22" t="n">
        <v>53</v>
      </c>
      <c r="B54" s="22" t="inlineStr">
        <is>
          <t>2025-12-04</t>
        </is>
      </c>
      <c r="C54" s="22" t="inlineStr">
        <is>
          <t>2025</t>
        </is>
      </c>
      <c r="D54" s="22" t="inlineStr">
        <is>
          <t>2025-12</t>
        </is>
      </c>
      <c r="E54" s="22" t="inlineStr">
        <is>
          <t>Драгунов Сергій</t>
        </is>
      </c>
      <c r="F54" s="22" t="inlineStr">
        <is>
          <t>Права користувачу, виправлено імпорт виписки (04–08.12)</t>
        </is>
      </c>
      <c r="G54" s="22" t="inlineStr">
        <is>
          <t>TG [2791]–[2810]</t>
        </is>
      </c>
      <c r="H54" s="25" t="n">
        <v>0.75</v>
      </c>
      <c r="I54" s="22" t="inlineStr">
        <is>
          <t>висока</t>
        </is>
      </c>
      <c r="J54" s="24">
        <f>INDEX(Ставки!$C$2:$C$44,MATCH(D54,Ставки!$A$2:$A$44,0))</f>
        <v/>
      </c>
      <c r="K54" s="24">
        <f>H54*J54</f>
        <v/>
      </c>
      <c r="L54" s="22" t="inlineStr"/>
    </row>
    <row r="55">
      <c r="A55" s="22" t="n">
        <v>54</v>
      </c>
      <c r="B55" s="22" t="inlineStr">
        <is>
          <t>2025-12-17</t>
        </is>
      </c>
      <c r="C55" s="22" t="inlineStr">
        <is>
          <t>2025</t>
        </is>
      </c>
      <c r="D55" s="22" t="inlineStr">
        <is>
          <t>2025-12</t>
        </is>
      </c>
      <c r="E55" s="22" t="inlineStr">
        <is>
          <t>Пусташинський Юрій</t>
        </is>
      </c>
      <c r="F55" s="22" t="inlineStr">
        <is>
          <t>Оновлення модуля на проді, задача 12149</t>
        </is>
      </c>
      <c r="G55" s="22" t="inlineStr">
        <is>
          <t>Odoo msg 762167</t>
        </is>
      </c>
      <c r="H55" s="25" t="n">
        <v>0.25</v>
      </c>
      <c r="I55" s="22" t="inlineStr">
        <is>
          <t>висока</t>
        </is>
      </c>
      <c r="J55" s="24">
        <f>INDEX(Ставки!$C$2:$C$44,MATCH(D55,Ставки!$A$2:$A$44,0))</f>
        <v/>
      </c>
      <c r="K55" s="24">
        <f>H55*J55</f>
        <v/>
      </c>
      <c r="L55" s="22" t="inlineStr"/>
    </row>
    <row r="56">
      <c r="A56" s="22" t="n">
        <v>55</v>
      </c>
      <c r="B56" s="22" t="inlineStr">
        <is>
          <t>2026-01-22</t>
        </is>
      </c>
      <c r="C56" s="22" t="inlineStr">
        <is>
          <t>2026</t>
        </is>
      </c>
      <c r="D56" s="22" t="inlineStr">
        <is>
          <t>2026-01</t>
        </is>
      </c>
      <c r="E56" s="22" t="inlineStr">
        <is>
          <t>Менеджер (видалений акаунт)</t>
        </is>
      </c>
      <c r="F56" s="22" t="inlineStr">
        <is>
          <t>Демонстрація AI-рішень, Google Meet 15:00–16:00</t>
        </is>
      </c>
      <c r="G56" s="22" t="inlineStr">
        <is>
          <t>TG [2857]–[2859]</t>
        </is>
      </c>
      <c r="H56" s="25" t="n">
        <v>1</v>
      </c>
      <c r="I56" s="22" t="inlineStr">
        <is>
          <t>низька</t>
        </is>
      </c>
      <c r="J56" s="24">
        <f>INDEX(Ставки!$C$2:$C$44,MATCH(D56,Ставки!$A$2:$A$44,0))</f>
        <v/>
      </c>
      <c r="K56" s="24">
        <f>H56*J56</f>
        <v/>
      </c>
      <c r="L56" s="22" t="inlineStr">
        <is>
          <t>пресейл, факт проведення не підтверджено</t>
        </is>
      </c>
    </row>
    <row r="57">
      <c r="A57" s="22" t="n">
        <v>56</v>
      </c>
      <c r="B57" s="22" t="inlineStr">
        <is>
          <t>2026-02-04</t>
        </is>
      </c>
      <c r="C57" s="22" t="inlineStr">
        <is>
          <t>2026</t>
        </is>
      </c>
      <c r="D57" s="22" t="inlineStr">
        <is>
          <t>2026-02</t>
        </is>
      </c>
      <c r="E57" s="22" t="inlineStr">
        <is>
          <t>Драгунов Сергій</t>
        </is>
      </c>
      <c r="F57" s="22" t="inlineStr">
        <is>
          <t>Пояснення: як повернути назву аналітичного рахунку</t>
        </is>
      </c>
      <c r="G57" s="22" t="inlineStr">
        <is>
          <t>TG [2904]</t>
        </is>
      </c>
      <c r="H57" s="25" t="n">
        <v>0.25</v>
      </c>
      <c r="I57" s="22" t="inlineStr">
        <is>
          <t>висока</t>
        </is>
      </c>
      <c r="J57" s="24">
        <f>INDEX(Ставки!$C$2:$C$44,MATCH(D57,Ставки!$A$2:$A$44,0))</f>
        <v/>
      </c>
      <c r="K57" s="24">
        <f>H57*J57</f>
        <v/>
      </c>
      <c r="L57" s="22" t="inlineStr"/>
    </row>
    <row r="58">
      <c r="A58" s="22" t="n">
        <v>57</v>
      </c>
      <c r="B58" s="22" t="inlineStr">
        <is>
          <t>2026-04-02</t>
        </is>
      </c>
      <c r="C58" s="22" t="inlineStr">
        <is>
          <t>2026</t>
        </is>
      </c>
      <c r="D58" s="22" t="inlineStr">
        <is>
          <t>2026-04</t>
        </is>
      </c>
      <c r="E58" s="22" t="inlineStr">
        <is>
          <t>Драгунов Сергій</t>
        </is>
      </c>
      <c r="F58" s="22" t="inlineStr">
        <is>
          <t>Запущено автопідтягування виписок Mono</t>
        </is>
      </c>
      <c r="G58" s="22" t="inlineStr">
        <is>
          <t>TG [2913]</t>
        </is>
      </c>
      <c r="H58" s="25" t="n">
        <v>0.5</v>
      </c>
      <c r="I58" s="22" t="inlineStr">
        <is>
          <t>висока</t>
        </is>
      </c>
      <c r="J58" s="24">
        <f>INDEX(Ставки!$C$2:$C$44,MATCH(D58,Ставки!$A$2:$A$44,0))</f>
        <v/>
      </c>
      <c r="K58" s="24">
        <f>H58*J58</f>
        <v/>
      </c>
      <c r="L58" s="22" t="inlineStr"/>
    </row>
    <row r="59">
      <c r="A59" s="22" t="n">
        <v>58</v>
      </c>
      <c r="B59" s="22" t="inlineStr">
        <is>
          <t>2026-04-06</t>
        </is>
      </c>
      <c r="C59" s="22" t="inlineStr">
        <is>
          <t>2026</t>
        </is>
      </c>
      <c r="D59" s="22" t="inlineStr">
        <is>
          <t>2026-04</t>
        </is>
      </c>
      <c r="E59" s="22" t="inlineStr">
        <is>
          <t>Драгунов Сергій</t>
        </is>
      </c>
      <c r="F59" s="22" t="inlineStr">
        <is>
          <t>Коригування залишків, видалено зайвий рядок</t>
        </is>
      </c>
      <c r="G59" s="22" t="inlineStr">
        <is>
          <t>TG [2917]–[2927]</t>
        </is>
      </c>
      <c r="H59" s="25" t="n">
        <v>0.5</v>
      </c>
      <c r="I59" s="22" t="inlineStr">
        <is>
          <t>висока</t>
        </is>
      </c>
      <c r="J59" s="24">
        <f>INDEX(Ставки!$C$2:$C$44,MATCH(D59,Ставки!$A$2:$A$44,0))</f>
        <v/>
      </c>
      <c r="K59" s="24">
        <f>H59*J59</f>
        <v/>
      </c>
      <c r="L59" s="22" t="inlineStr"/>
    </row>
    <row r="60">
      <c r="A60" s="22" t="n">
        <v>59</v>
      </c>
      <c r="B60" s="22" t="inlineStr">
        <is>
          <t>2026-06-23</t>
        </is>
      </c>
      <c r="C60" s="22" t="inlineStr">
        <is>
          <t>2026</t>
        </is>
      </c>
      <c r="D60" s="22" t="inlineStr">
        <is>
          <t>2026-06</t>
        </is>
      </c>
      <c r="E60" s="22" t="inlineStr">
        <is>
          <t>Драгунов Сергій</t>
        </is>
      </c>
      <c r="F60" s="22" t="inlineStr">
        <is>
          <t>Інструкція: вимкнення автопроведення виписки</t>
        </is>
      </c>
      <c r="G60" s="22" t="inlineStr">
        <is>
          <t>TG [3006]</t>
        </is>
      </c>
      <c r="H60" s="25" t="n">
        <v>0.25</v>
      </c>
      <c r="I60" s="22" t="inlineStr">
        <is>
          <t>висока</t>
        </is>
      </c>
      <c r="J60" s="24">
        <f>INDEX(Ставки!$C$2:$C$44,MATCH(D60,Ставки!$A$2:$A$44,0))</f>
        <v/>
      </c>
      <c r="K60" s="24">
        <f>H60*J60</f>
        <v/>
      </c>
      <c r="L60" s="22" t="inlineStr"/>
    </row>
    <row r="61">
      <c r="A61" s="22" t="n">
        <v>60</v>
      </c>
      <c r="B61" s="22" t="inlineStr">
        <is>
          <t>2026-06-26</t>
        </is>
      </c>
      <c r="C61" s="22" t="inlineStr">
        <is>
          <t>2026</t>
        </is>
      </c>
      <c r="D61" s="22" t="inlineStr">
        <is>
          <t>2026-06</t>
        </is>
      </c>
      <c r="E61" s="22" t="inlineStr">
        <is>
          <t>Станіславчук Олександр</t>
        </is>
      </c>
      <c r="F61" s="22" t="inlineStr">
        <is>
          <t>Консультація по скрипту, задача 8137</t>
        </is>
      </c>
      <c r="G61" s="22" t="inlineStr">
        <is>
          <t>Odoo msg 1005387</t>
        </is>
      </c>
      <c r="H61" s="25" t="n">
        <v>0.25</v>
      </c>
      <c r="I61" s="22" t="inlineStr">
        <is>
          <t>середня</t>
        </is>
      </c>
      <c r="J61" s="24">
        <f>INDEX(Ставки!$C$2:$C$44,MATCH(D61,Ставки!$A$2:$A$44,0))</f>
        <v/>
      </c>
      <c r="K61" s="24">
        <f>H61*J61</f>
        <v/>
      </c>
      <c r="L61" s="22" t="inlineStr"/>
    </row>
    <row r="62">
      <c r="A62" s="22" t="n">
        <v>61</v>
      </c>
      <c r="B62" s="22" t="inlineStr">
        <is>
          <t>2026-07-03</t>
        </is>
      </c>
      <c r="C62" s="22" t="inlineStr">
        <is>
          <t>2026</t>
        </is>
      </c>
      <c r="D62" s="22" t="inlineStr">
        <is>
          <t>2026-07</t>
        </is>
      </c>
      <c r="E62" s="22" t="inlineStr">
        <is>
          <t>Станіславчук Олександр</t>
        </is>
      </c>
      <c r="F62" s="22" t="inlineStr">
        <is>
          <t>Задача 8137</t>
        </is>
      </c>
      <c r="G62" s="22" t="inlineStr">
        <is>
          <t>Odoo msg 1015327</t>
        </is>
      </c>
      <c r="H62" s="25" t="n">
        <v>0.25</v>
      </c>
      <c r="I62" s="22" t="inlineStr">
        <is>
          <t>середня</t>
        </is>
      </c>
      <c r="J62" s="24">
        <f>INDEX(Ставки!$C$2:$C$44,MATCH(D62,Ставки!$A$2:$A$44,0))</f>
        <v/>
      </c>
      <c r="K62" s="24">
        <f>H62*J62</f>
        <v/>
      </c>
      <c r="L62" s="22" t="inlineStr"/>
    </row>
    <row r="63">
      <c r="A63" s="22" t="n">
        <v>62</v>
      </c>
      <c r="B63" s="22" t="inlineStr">
        <is>
          <t>2026-07-31</t>
        </is>
      </c>
      <c r="C63" s="22" t="inlineStr">
        <is>
          <t>2026</t>
        </is>
      </c>
      <c r="D63" s="22" t="inlineStr">
        <is>
          <t>2026-07</t>
        </is>
      </c>
      <c r="E63" s="22" t="inlineStr">
        <is>
          <t>Драгунов Сергій</t>
        </is>
      </c>
      <c r="F63" s="22" t="inlineStr">
        <is>
          <t>Інструкція: вимкнути колонку в списку</t>
        </is>
      </c>
      <c r="G63" s="22" t="inlineStr">
        <is>
          <t>TG [3013]</t>
        </is>
      </c>
      <c r="H63" s="25" t="n">
        <v>0.25</v>
      </c>
      <c r="I63" s="22" t="inlineStr">
        <is>
          <t>висока</t>
        </is>
      </c>
      <c r="J63" s="24">
        <f>INDEX(Ставки!$C$2:$C$44,MATCH(D63,Ставки!$A$2:$A$44,0))</f>
        <v/>
      </c>
      <c r="K63" s="24">
        <f>H63*J63</f>
        <v/>
      </c>
      <c r="L63" s="22" t="inlineStr"/>
    </row>
    <row r="64">
      <c r="A64" s="22" t="n">
        <v>63</v>
      </c>
      <c r="B64" s="22" t="inlineStr">
        <is>
          <t>2026-08-18</t>
        </is>
      </c>
      <c r="C64" s="22" t="inlineStr">
        <is>
          <t>2026</t>
        </is>
      </c>
      <c r="D64" s="22" t="inlineStr">
        <is>
          <t>2026-08</t>
        </is>
      </c>
      <c r="E64" s="22" t="inlineStr">
        <is>
          <t>Кутько Ігор</t>
        </is>
      </c>
      <c r="F64" s="22" t="inlineStr">
        <is>
          <t>Участь у зустрічі 18.08 (41 хв, виступав 6 разів)</t>
        </is>
      </c>
      <c r="G64" s="22" t="inlineStr">
        <is>
          <t>Fathom 174179028</t>
        </is>
      </c>
      <c r="H64" s="25" t="n">
        <v>0.68</v>
      </c>
      <c r="I64" s="22" t="inlineStr">
        <is>
          <t>висока</t>
        </is>
      </c>
      <c r="J64" s="24">
        <f>INDEX(Ставки!$C$2:$C$44,MATCH(D64,Ставки!$A$2:$A$44,0))</f>
        <v/>
      </c>
      <c r="K64" s="24">
        <f>H64*J64</f>
        <v/>
      </c>
      <c r="L64" s="22" t="inlineStr"/>
    </row>
    <row r="65">
      <c r="A65" s="22" t="n">
        <v>64</v>
      </c>
      <c r="B65" s="22" t="inlineStr">
        <is>
          <t>2026-09-07</t>
        </is>
      </c>
      <c r="C65" s="22" t="inlineStr">
        <is>
          <t>2026</t>
        </is>
      </c>
      <c r="D65" s="22" t="inlineStr">
        <is>
          <t>2026-09</t>
        </is>
      </c>
      <c r="E65" s="22" t="inlineStr">
        <is>
          <t>Кутько Ігор</t>
        </is>
      </c>
      <c r="F65" s="22" t="inlineStr">
        <is>
          <t>Правка документа «Структура серверів», задача 23992</t>
        </is>
      </c>
      <c r="G65" s="22" t="inlineStr">
        <is>
          <t>Odoo msg 5252581, 5252583</t>
        </is>
      </c>
      <c r="H65" s="25" t="n">
        <v>0.25</v>
      </c>
      <c r="I65" s="22" t="inlineStr">
        <is>
          <t>середня</t>
        </is>
      </c>
      <c r="J65" s="24">
        <f>INDEX(Ставки!$C$2:$C$44,MATCH(D65,Ставки!$A$2:$A$44,0))</f>
        <v/>
      </c>
      <c r="K65" s="24">
        <f>H65*J65</f>
        <v/>
      </c>
      <c r="L65" s="22" t="inlineStr"/>
    </row>
    <row r="66">
      <c r="A66" s="22" t="n">
        <v>65</v>
      </c>
      <c r="B66" s="22" t="inlineStr">
        <is>
          <t>2026-10-01</t>
        </is>
      </c>
      <c r="C66" s="22" t="inlineStr">
        <is>
          <t>2026</t>
        </is>
      </c>
      <c r="D66" s="22" t="inlineStr">
        <is>
          <t>2026-10</t>
        </is>
      </c>
      <c r="E66" s="22" t="inlineStr">
        <is>
          <t>Адаменко Олесь</t>
        </is>
      </c>
      <c r="F66" s="22" t="inlineStr">
        <is>
          <t>Збір і виклад інформації по серверах і репозиторіях</t>
        </is>
      </c>
      <c r="G66" s="22" t="inlineStr">
        <is>
          <t>TG [3094]–[3111]</t>
        </is>
      </c>
      <c r="H66" s="25" t="n">
        <v>1</v>
      </c>
      <c r="I66" s="22" t="inlineStr">
        <is>
          <t>середня</t>
        </is>
      </c>
      <c r="J66" s="24">
        <f>INDEX(Ставки!$C$2:$C$44,MATCH(D66,Ставки!$A$2:$A$44,0))</f>
        <v/>
      </c>
      <c r="K66" s="24">
        <f>H66*J66</f>
        <v/>
      </c>
      <c r="L66" s="22" t="inlineStr"/>
    </row>
    <row r="67">
      <c r="A67" s="22" t="n">
        <v>66</v>
      </c>
      <c r="B67" s="22" t="inlineStr">
        <is>
          <t>2026-10-01</t>
        </is>
      </c>
      <c r="C67" s="22" t="inlineStr">
        <is>
          <t>2026</t>
        </is>
      </c>
      <c r="D67" s="22" t="inlineStr">
        <is>
          <t>2026-10</t>
        </is>
      </c>
      <c r="E67" s="22" t="inlineStr">
        <is>
          <t>Львов Юрій</t>
        </is>
      </c>
      <c r="F67" s="22" t="inlineStr">
        <is>
          <t>Перевірка доступів, запит до DevOps, хто має права власника</t>
        </is>
      </c>
      <c r="G67" s="22" t="inlineStr">
        <is>
          <t>TG [3114]–[3126]</t>
        </is>
      </c>
      <c r="H67" s="25" t="n">
        <v>0.5</v>
      </c>
      <c r="I67" s="22" t="inlineStr">
        <is>
          <t>середня</t>
        </is>
      </c>
      <c r="J67" s="24">
        <f>INDEX(Ставки!$C$2:$C$44,MATCH(D67,Ставки!$A$2:$A$44,0))</f>
        <v/>
      </c>
      <c r="K67" s="24">
        <f>H67*J67</f>
        <v/>
      </c>
      <c r="L67" s="22" t="inlineStr"/>
    </row>
    <row r="68">
      <c r="A68" s="17" t="inlineStr">
        <is>
          <t>РАЗОМ</t>
        </is>
      </c>
      <c r="B68" s="2" t="n"/>
      <c r="C68" s="2" t="n"/>
      <c r="D68" s="2" t="n"/>
      <c r="E68" s="2" t="n"/>
      <c r="F68" s="2" t="n"/>
      <c r="G68" s="2" t="n"/>
      <c r="H68" s="17">
        <f>SUM(H2:H67)</f>
        <v/>
      </c>
      <c r="I68" s="2" t="n"/>
      <c r="J68" s="2" t="n"/>
      <c r="K68" s="18">
        <f>SUM(K2:K67)</f>
        <v/>
      </c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3" t="inlineStr">
        <is>
          <t>Оцінка консервативна: консультація 0,25 год, фікс або доступ 0,25–0,5, зустріч — тривалість × учасники ToDo (або 0,5 год, якщо тривалість невідома). Сині комірки — оцінки, їх можна змінити.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</sheetData>
  <autoFilter ref="A1:L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60" customWidth="1" min="3" max="3"/>
    <col width="34" customWidth="1" min="4" max="4"/>
    <col width="9" customWidth="1" min="5" max="5"/>
    <col width="60" customWidth="1" min="6" max="6"/>
  </cols>
  <sheetData>
    <row r="1" ht="32" customHeight="1">
      <c r="A1" s="4" t="inlineStr">
        <is>
          <t>Дата</t>
        </is>
      </c>
      <c r="B1" s="4" t="inlineStr">
        <is>
          <t>Хто</t>
        </is>
      </c>
      <c r="C1" s="4" t="inlineStr">
        <is>
          <t>Що</t>
        </is>
      </c>
      <c r="D1" s="4" t="inlineStr">
        <is>
          <t>Джерело</t>
        </is>
      </c>
      <c r="E1" s="4" t="inlineStr">
        <is>
          <t>Год (≈)</t>
        </is>
      </c>
      <c r="F1" s="4" t="inlineStr">
        <is>
          <t>Чому не в сумі</t>
        </is>
      </c>
    </row>
    <row r="2">
      <c r="A2" s="22" t="inlineStr">
        <is>
          <t>2024-01-16</t>
        </is>
      </c>
      <c r="B2" s="22" t="inlineStr">
        <is>
          <t>Адаменко Олесь</t>
        </is>
      </c>
      <c r="C2" s="22" t="inlineStr">
        <is>
          <t>Внутрішній проєкт 94, задача #2930 «Передача проекту LuxSite»: вхід нового менеджера</t>
        </is>
      </c>
      <c r="D2" s="22" t="inlineStr">
        <is>
          <t>Odoo рядок 20576</t>
        </is>
      </c>
      <c r="E2" s="23" t="n">
        <v>8</v>
      </c>
      <c r="F2" s="22" t="inlineStr">
        <is>
          <t>ToDo взяла на себе; перенесено з проєкту LuxSite 29.01.2024</t>
        </is>
      </c>
    </row>
    <row r="3">
      <c r="A3" s="22" t="inlineStr">
        <is>
          <t>2026-06-05 … 2026-09-04</t>
        </is>
      </c>
      <c r="B3" s="22" t="inlineStr">
        <is>
          <t>Львов Юрій</t>
        </is>
      </c>
      <c r="C3" s="22" t="inlineStr">
        <is>
          <t>Присутність на 5 зустрічах 2026 року (05.06, 22.06, 07.08, 18.08, 04.09)</t>
        </is>
      </c>
      <c r="D3" s="22" t="inlineStr">
        <is>
          <t>Fathom, календар</t>
        </is>
      </c>
      <c r="E3" s="23" t="n">
        <v>4.24</v>
      </c>
      <c r="F3" s="22" t="inlineStr">
        <is>
          <t>роль керівника, у проєкті 55 жодного рядка</t>
        </is>
      </c>
    </row>
    <row r="4">
      <c r="A4" s="22" t="inlineStr">
        <is>
          <t>2026-09-04</t>
        </is>
      </c>
      <c r="B4" s="22" t="inlineStr">
        <is>
          <t>Джошкун</t>
        </is>
      </c>
      <c r="C4" s="22" t="inlineStr">
        <is>
          <t>Присутність на зустрічі 04.09</t>
        </is>
      </c>
      <c r="D4" s="22" t="inlineStr">
        <is>
          <t>Fathom 179941955</t>
        </is>
      </c>
      <c r="E4" s="23" t="n">
        <v>0.73</v>
      </c>
      <c r="F4" s="22" t="inlineStr">
        <is>
          <t>роль керівника</t>
        </is>
      </c>
    </row>
    <row r="5">
      <c r="A5" s="22" t="inlineStr">
        <is>
          <t>2025-01 … 2025-07</t>
        </is>
      </c>
      <c r="B5" s="22" t="inlineStr">
        <is>
          <t>Скабіцька</t>
        </is>
      </c>
      <c r="C5" s="22" t="inlineStr">
        <is>
          <t>≈14 зустрічей у календарі</t>
        </is>
      </c>
      <c r="D5" s="22" t="inlineStr">
        <is>
          <t>календар</t>
        </is>
      </c>
      <c r="E5" s="23" t="n">
        <v>9.5</v>
      </c>
      <c r="F5" s="22" t="inlineStr">
        <is>
          <t>факт проведення не підтверджено; оцінка 9–10 год</t>
        </is>
      </c>
    </row>
    <row r="6">
      <c r="A6" s="22" t="inlineStr">
        <is>
          <t>2025-07 … 2026-05</t>
        </is>
      </c>
      <c r="B6" s="22" t="inlineStr">
        <is>
          <t>Анна / Львов</t>
        </is>
      </c>
      <c r="C6" s="22" t="inlineStr">
        <is>
          <t>Щомісячні звіти по табелюванню (≈10 звітів)</t>
        </is>
      </c>
      <c r="D6" s="22" t="inlineStr">
        <is>
          <t>TG [2530], [2544], [2710], [2849], [2899]</t>
        </is>
      </c>
      <c r="E6" s="23" t="n">
        <v>2.5</v>
      </c>
      <c r="F6" s="22" t="inlineStr">
        <is>
          <t>не оцінювали детально</t>
        </is>
      </c>
    </row>
    <row r="7">
      <c r="A7" s="22" t="inlineStr">
        <is>
          <t>2025-11-17 … 21</t>
        </is>
      </c>
      <c r="B7" s="22" t="inlineStr">
        <is>
          <t>Драгунов Сергій</t>
        </is>
      </c>
      <c r="C7" s="22" t="inlineStr">
        <is>
          <t>Гарантійні виправлення по виписках</t>
        </is>
      </c>
      <c r="D7" s="22" t="inlineStr">
        <is>
          <t>TG [2753]–[2781]</t>
        </is>
      </c>
      <c r="E7" s="23" t="n">
        <v>1.75</v>
      </c>
      <c r="F7" s="22" t="inlineStr">
        <is>
          <t>свідома поступка: «За це рахунок не виставляється» [2777]</t>
        </is>
      </c>
    </row>
    <row r="8">
      <c r="A8" s="22" t="inlineStr">
        <is>
          <t>2024-10-09 … 11</t>
        </is>
      </c>
      <c r="B8" s="22" t="inlineStr">
        <is>
          <t>Кутько Ігор</t>
        </is>
      </c>
      <c r="C8" s="22" t="inlineStr">
        <is>
          <t>Перша невдала спроба перенесення сервера</t>
        </is>
      </c>
      <c r="D8" s="22" t="inlineStr">
        <is>
          <t>календар 1620777, TG [1599]–[1606]</t>
        </is>
      </c>
      <c r="E8" s="23" t="n">
        <v>1</v>
      </c>
      <c r="F8" s="22" t="inlineStr">
        <is>
          <t>частково є в табелі (10.10 і 12.10), тому з суми виключено</t>
        </is>
      </c>
    </row>
    <row r="9">
      <c r="A9" s="22" t="inlineStr">
        <is>
          <t>2024-01-05</t>
        </is>
      </c>
      <c r="B9" s="22" t="inlineStr">
        <is>
          <t>Ніжніковський</t>
        </is>
      </c>
      <c r="C9" s="22" t="inlineStr">
        <is>
          <t>Зустріч з клієнтом</t>
        </is>
      </c>
      <c r="D9" s="22" t="inlineStr">
        <is>
          <t>TG [1136], [1147]</t>
        </is>
      </c>
      <c r="E9" s="23" t="n">
        <v>0.5</v>
      </c>
      <c r="F9" s="22" t="inlineStr">
        <is>
          <t>того ж дня є оплачений рядок 0,5 год, тому з суми виключено</t>
        </is>
      </c>
    </row>
    <row r="10">
      <c r="A10" s="22" t="inlineStr">
        <is>
          <t>2023-12-29</t>
        </is>
      </c>
      <c r="B10" s="22" t="inlineStr">
        <is>
          <t>Фіголь Дмитро</t>
        </is>
      </c>
      <c r="C10" s="22" t="inlineStr">
        <is>
          <t>Зустріч 11:00 + таблиця</t>
        </is>
      </c>
      <c r="D10" s="22" t="inlineStr">
        <is>
          <t>TG [1127]</t>
        </is>
      </c>
      <c r="E10" s="23" t="n">
        <v>0.5</v>
      </c>
      <c r="F10" s="22" t="inlineStr">
        <is>
          <t>уже є в табелі (рядок 19932, факт 0,5 / виставлено 0), не дублюємо</t>
        </is>
      </c>
    </row>
    <row r="11">
      <c r="A11" s="22" t="inlineStr">
        <is>
          <t>2026-01-27</t>
        </is>
      </c>
      <c r="B11" s="22" t="inlineStr">
        <is>
          <t>Грицюк (сисадмін)</t>
        </is>
      </c>
      <c r="C11" s="22" t="inlineStr">
        <is>
          <t>Проєкт HR, рядок «Люкс сайт»</t>
        </is>
      </c>
      <c r="D11" s="22" t="inlineStr">
        <is>
          <t>Odoo</t>
        </is>
      </c>
      <c r="E11" s="23" t="n">
        <v>0.5</v>
      </c>
      <c r="F11" s="22" t="inlineStr">
        <is>
          <t>суть не описана</t>
        </is>
      </c>
    </row>
    <row r="12">
      <c r="A12" s="22" t="inlineStr">
        <is>
          <t>—</t>
        </is>
      </c>
      <c r="B12" s="22" t="inlineStr">
        <is>
          <t>—</t>
        </is>
      </c>
      <c r="C12" s="22" t="inlineStr">
        <is>
          <t>Адміністрування тестового сервера</t>
        </is>
      </c>
      <c r="D12" s="22" t="inlineStr">
        <is>
          <t>TG [3115]</t>
        </is>
      </c>
      <c r="E12" s="23" t="n"/>
      <c r="F12" s="22" t="inlineStr">
        <is>
          <t>«за свій рахунок», години не записувались</t>
        </is>
      </c>
    </row>
    <row r="13">
      <c r="A13" s="22" t="inlineStr">
        <is>
          <t>2023-11</t>
        </is>
      </c>
      <c r="B13" s="22" t="inlineStr">
        <is>
          <t>Фіголь Дмитро та ін.</t>
        </is>
      </c>
      <c r="C13" s="22" t="inlineStr">
        <is>
          <t>Листопад 2023: перенесення на прод, навчання 02.11, правки прав</t>
        </is>
      </c>
      <c r="D13" s="22" t="inlineStr">
        <is>
          <t>акт 11.2023 (11,5 год)</t>
        </is>
      </c>
      <c r="E13" s="23" t="n"/>
      <c r="F13" s="22" t="inlineStr">
        <is>
          <t>ОПЛАЧЕНО актом, рядків табеля немає — не невиставлене</t>
        </is>
      </c>
    </row>
    <row r="14">
      <c r="A14" s="22" t="inlineStr">
        <is>
          <t>2026-09-15</t>
        </is>
      </c>
      <c r="B14" s="22" t="inlineStr">
        <is>
          <t>Іванюк Назарій</t>
        </is>
      </c>
      <c r="C14" s="22" t="inlineStr">
        <is>
          <t>Рядок табеля 0 / 0: Протестував, після внесення правок розробником</t>
        </is>
      </c>
      <c r="D14" s="22" t="inlineStr">
        <is>
          <t>Odoo рядок 82770</t>
        </is>
      </c>
      <c r="E14" s="23" t="n"/>
      <c r="F14" s="22" t="inlineStr">
        <is>
          <t>робота записана, години не проставлені</t>
        </is>
      </c>
    </row>
    <row r="15">
      <c r="A15" s="22" t="inlineStr">
        <is>
          <t>2026-09-15</t>
        </is>
      </c>
      <c r="B15" s="22" t="inlineStr">
        <is>
          <t>Іванюк Назарій</t>
        </is>
      </c>
      <c r="C15" s="22" t="inlineStr">
        <is>
          <t>Рядок табеля 0 / 0: Описав та поставив задачу поверненню можливості постановки пріоритету проекту</t>
        </is>
      </c>
      <c r="D15" s="22" t="inlineStr">
        <is>
          <t>Odoo рядок 82769</t>
        </is>
      </c>
      <c r="E15" s="23" t="n"/>
      <c r="F15" s="22" t="inlineStr">
        <is>
          <t>робота записана, години не проставлені</t>
        </is>
      </c>
    </row>
    <row r="16">
      <c r="A16" s="22" t="inlineStr">
        <is>
          <t>2026-06-26</t>
        </is>
      </c>
      <c r="B16" s="22" t="inlineStr">
        <is>
          <t>Адаменко Олесь</t>
        </is>
      </c>
      <c r="C16" s="22" t="inlineStr">
        <is>
          <t>Рядок табеля 0 / 0: Перепідв'язати задачі до вірного елемента замовлення на продаж</t>
        </is>
      </c>
      <c r="D16" s="22" t="inlineStr">
        <is>
          <t>Odoo рядок 73553</t>
        </is>
      </c>
      <c r="E16" s="23" t="n"/>
      <c r="F16" s="22" t="inlineStr">
        <is>
          <t>робота записана, години не проставлені</t>
        </is>
      </c>
    </row>
    <row r="17">
      <c r="A17" s="22" t="inlineStr">
        <is>
          <t>2026-06-23</t>
        </is>
      </c>
      <c r="B17" s="22" t="inlineStr">
        <is>
          <t>Адаменко Олесь</t>
        </is>
      </c>
      <c r="C17" s="22" t="inlineStr">
        <is>
          <t>Рядок табеля 0 / 0: Менеджмент  проекту</t>
        </is>
      </c>
      <c r="D17" s="22" t="inlineStr">
        <is>
          <t>Odoo рядок 73226</t>
        </is>
      </c>
      <c r="E17" s="23" t="n"/>
      <c r="F17" s="22" t="inlineStr">
        <is>
          <t>робота записана, години не проставлені</t>
        </is>
      </c>
    </row>
    <row r="18">
      <c r="A18" s="22" t="inlineStr">
        <is>
          <t>2025-12-16</t>
        </is>
      </c>
      <c r="B18" s="22" t="inlineStr">
        <is>
          <t>Волохов Максим</t>
        </is>
      </c>
      <c r="C18" s="22" t="inlineStr">
        <is>
          <t>Рядок табеля 0 / 0: Було проведено анаіз даного питання та по роботі системи необхідно брати 2 окремі відпустк</t>
        </is>
      </c>
      <c r="D18" s="22" t="inlineStr">
        <is>
          <t>Odoo рядок 57652</t>
        </is>
      </c>
      <c r="E18" s="23" t="n"/>
      <c r="F18" s="22" t="inlineStr">
        <is>
          <t>робота записана, години не проставлені</t>
        </is>
      </c>
    </row>
    <row r="19">
      <c r="A19" s="22" t="inlineStr">
        <is>
          <t>2025-10-01</t>
        </is>
      </c>
      <c r="B19" s="22" t="inlineStr">
        <is>
          <t>Лемешевський Ілля</t>
        </is>
      </c>
      <c r="C19" s="22" t="inlineStr">
        <is>
          <t>Рядок табеля 0 / 0: /</t>
        </is>
      </c>
      <c r="D19" s="22" t="inlineStr">
        <is>
          <t>Odoo рядок 52402</t>
        </is>
      </c>
      <c r="E19" s="23" t="n"/>
      <c r="F19" s="22" t="inlineStr">
        <is>
          <t>робота записана, години не проставлені</t>
        </is>
      </c>
    </row>
    <row r="20">
      <c r="A20" s="22" t="inlineStr">
        <is>
          <t>2025-06-03</t>
        </is>
      </c>
      <c r="B20" s="22" t="inlineStr">
        <is>
          <t>Адаменко Олесь</t>
        </is>
      </c>
      <c r="C20" s="22" t="inlineStr">
        <is>
          <t>Рядок табеля 0 / 0: Управління проектом</t>
        </is>
      </c>
      <c r="D20" s="22" t="inlineStr">
        <is>
          <t>Odoo рядок 45265</t>
        </is>
      </c>
      <c r="E20" s="23" t="n"/>
      <c r="F20" s="22" t="inlineStr">
        <is>
          <t>робота записана, години не проставлені</t>
        </is>
      </c>
    </row>
    <row r="21">
      <c r="A21" s="22" t="inlineStr">
        <is>
          <t>2024-12-06</t>
        </is>
      </c>
      <c r="B21" s="22" t="inlineStr">
        <is>
          <t>Волохов Максим</t>
        </is>
      </c>
      <c r="C21" s="22" t="inlineStr">
        <is>
          <t>Рядок табеля 0 / 0: Проаналізовано чому надійшов з невірною задачею. Відповідь проблеми зі сторони Odoo не зна</t>
        </is>
      </c>
      <c r="D21" s="22" t="inlineStr">
        <is>
          <t>Odoo рядок 34974</t>
        </is>
      </c>
      <c r="E21" s="23" t="n"/>
      <c r="F21" s="22" t="inlineStr">
        <is>
          <t>робота записана, години не проставлені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2026-10-05T18:38:28Z</dcterms:created>
  <dcterms:modified xmlns:dcterms="http://purl.org/dc/terms/" xmlns:xsi="http://www.w3.org/2001/XMLSchema-instance" xsi:type="dcterms:W3CDTF">2026-10-05T18:38:28Z</dcterms:modified>
</cp:coreProperties>
</file>